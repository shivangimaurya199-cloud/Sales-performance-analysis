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5" activeTab="3"/>
  </bookViews>
  <sheets>
    <sheet name="pivot table2" sheetId="3" r:id="rId1"/>
    <sheet name="Sheet4" sheetId="23" r:id="rId2"/>
    <sheet name="Sheet5" sheetId="24" r:id="rId3"/>
    <sheet name="step3" sheetId="19" r:id="rId4"/>
  </sheets>
  <definedNames>
    <definedName name="Slicer_date6">#N/A</definedName>
    <definedName name="Slicer_Product">#N/A</definedName>
    <definedName name="Slicer_Category7">#N/A</definedName>
    <definedName name="Slicer_Salesperson8">#N/A</definedName>
    <definedName name="Slicer_Region9">#N/A</definedName>
    <definedName name="_xlnm._FilterDatabase" localSheetId="3" hidden="1">step3!#REF!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<sst xmlns="http://schemas.openxmlformats.org/spreadsheetml/2006/main" count="187" uniqueCount="60">
  <si>
    <t>Product</t>
  </si>
  <si>
    <t>Sum of revenue</t>
  </si>
  <si>
    <t>Region</t>
  </si>
  <si>
    <t>Category</t>
  </si>
  <si>
    <t>Salesperson</t>
  </si>
  <si>
    <t>Date</t>
  </si>
  <si>
    <t>Unit_Price</t>
  </si>
  <si>
    <t>Smartwatch</t>
  </si>
  <si>
    <t>East</t>
  </si>
  <si>
    <t>Electronics</t>
  </si>
  <si>
    <t>Rahul</t>
  </si>
  <si>
    <t>Laptop Bag</t>
  </si>
  <si>
    <t>North</t>
  </si>
  <si>
    <t>Accessories</t>
  </si>
  <si>
    <t>Neha</t>
  </si>
  <si>
    <t>Sports Shoes</t>
  </si>
  <si>
    <t>South</t>
  </si>
  <si>
    <t>Apparel</t>
  </si>
  <si>
    <t>Amit</t>
  </si>
  <si>
    <t>Jeans</t>
  </si>
  <si>
    <t>West</t>
  </si>
  <si>
    <t>Footwear</t>
  </si>
  <si>
    <t>Kajal</t>
  </si>
  <si>
    <t>Backpack</t>
  </si>
  <si>
    <t>Grand Total</t>
  </si>
  <si>
    <t>Stationery</t>
  </si>
  <si>
    <t>Sum of Quantity</t>
  </si>
  <si>
    <t>T-Shirt</t>
  </si>
  <si>
    <t>Keyboard</t>
  </si>
  <si>
    <t>Wireless Mouse</t>
  </si>
  <si>
    <t>Pendrive 32GB</t>
  </si>
  <si>
    <t>Notebook</t>
  </si>
  <si>
    <t>date</t>
  </si>
  <si>
    <t>Invoice_ID</t>
  </si>
  <si>
    <t>Customer_Name</t>
  </si>
  <si>
    <t>Quantity</t>
  </si>
  <si>
    <t>revenue</t>
  </si>
  <si>
    <t>PROFIT</t>
  </si>
  <si>
    <t>INV007</t>
  </si>
  <si>
    <t>Dev Mehta</t>
  </si>
  <si>
    <t>INV001</t>
  </si>
  <si>
    <t>Rohan Sharma</t>
  </si>
  <si>
    <t>cost per unit</t>
  </si>
  <si>
    <t>INV002</t>
  </si>
  <si>
    <t>Priya Verma</t>
  </si>
  <si>
    <t>INV003</t>
  </si>
  <si>
    <t>Sachin Patel</t>
  </si>
  <si>
    <t>INV004</t>
  </si>
  <si>
    <t>Anita Gupta</t>
  </si>
  <si>
    <t>INV005</t>
  </si>
  <si>
    <t>Aman Kumar</t>
  </si>
  <si>
    <t>INV006</t>
  </si>
  <si>
    <t>Shruti Desai</t>
  </si>
  <si>
    <t>INV008</t>
  </si>
  <si>
    <t>Nikita Jain</t>
  </si>
  <si>
    <t>INV009</t>
  </si>
  <si>
    <t>Arjun Singh</t>
  </si>
  <si>
    <t>INV010</t>
  </si>
  <si>
    <t>Meera Nair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</si>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</sst>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81" fontId="0" fillId="0" borderId="0" xfId="0" applyNumberFormat="1">
      <alignment vertical="center"/>
    </xf>
    <xf numFmtId="181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0">
    <dxf>
      <numFmt numFmtId="181" formatCode="0.00_);[Red]\(0.00\)"/>
    </dxf>
    <dxf>
      <numFmt numFmtId="10" formatCode="0.00%"/>
    </dxf>
    <dxf>
      <numFmt numFmtId="182" formatCode="0.000%"/>
    </dxf>
    <dxf>
      <numFmt numFmtId="10" formatCode="0.00%"/>
    </dxf>
    <dxf>
      <numFmt numFmtId="183" formatCode="0.0%"/>
    </dxf>
    <dxf>
      <numFmt numFmtId="9" formatCode="0%"/>
    </dxf>
    <dxf>
      <numFmt numFmtId="181" formatCode="0.00_);[Red]\(0.00\)"/>
    </dxf>
    <dxf>
      <numFmt numFmtId="184" formatCode="&quot;₹&quot;#,##0.00_);[Red]\(&quot;₹&quot;#,##0.00\)"/>
    </dxf>
    <dxf>
      <numFmt numFmtId="185" formatCode="&quot;₹&quot;#,##0.00_);[Red]\(&quot;₹&quot;#,##0.00\)"/>
    </dxf>
    <dxf>
      <numFmt numFmtId="181" formatCode="0.00_);[Red]\(0.00\)"/>
    </dxf>
    <dxf>
      <numFmt numFmtId="181" formatCode="0.00_);[Red]\(0.00\)"/>
    </dxf>
    <dxf>
      <numFmt numFmtId="186" formatCode="#\ ?/?"/>
    </dxf>
    <dxf>
      <numFmt numFmtId="187" formatCode="#\ ?/?"/>
    </dxf>
    <dxf>
      <numFmt numFmtId="49" formatCode="@"/>
    </dxf>
    <dxf>
      <numFmt numFmtId="49" formatCode="@"/>
    </dxf>
    <dxf>
      <numFmt numFmtId="11" formatCode="0.00E+00"/>
    </dxf>
    <dxf>
      <numFmt numFmtId="11" formatCode="0.00E+00"/>
    </dxf>
    <dxf>
      <numFmt numFmtId="10" formatCode="0.00%"/>
    </dxf>
    <dxf>
      <numFmt numFmtId="10" formatCode="0.00%"/>
    </dxf>
    <dxf>
      <numFmt numFmtId="188" formatCode="0.000%"/>
    </dxf>
    <dxf>
      <numFmt numFmtId="189" formatCode="0.000%"/>
    </dxf>
    <dxf>
      <numFmt numFmtId="10" formatCode="0.00%"/>
    </dxf>
    <dxf>
      <numFmt numFmtId="10" formatCode="0.00%"/>
    </dxf>
    <dxf>
      <numFmt numFmtId="190" formatCode="0.0%"/>
    </dxf>
    <dxf>
      <numFmt numFmtId="191" formatCode="0.0%"/>
    </dxf>
    <dxf>
      <numFmt numFmtId="9" formatCode="0%"/>
    </dxf>
    <dxf>
      <numFmt numFmtId="9" formatCode="0%"/>
    </dxf>
    <dxf>
      <numFmt numFmtId="181" formatCode="0.00_);[Red]\(0.00\)"/>
    </dxf>
    <dxf>
      <numFmt numFmtId="181" formatCode="0.00_);[Red]\(0.00\)"/>
    </dxf>
    <dxf>
      <numFmt numFmtId="180" formatCode="dd/mm/yyyy"/>
    </dxf>
    <dxf>
      <numFmt numFmtId="180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181" formatCode="0.00_);[Red]\(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firstRowStripe" dxfId="44"/>
      <tableStyleElement type="firstColumnStripe" dxfId="43"/>
    </tableStyle>
    <tableStyle name="PivotStylePreset2_Accent1" table="0" count="10" xr9:uid="{267968C8-6FFD-4C36-ACC1-9EA1FD1885CA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162560</xdr:colOff>
      <xdr:row>0</xdr:row>
      <xdr:rowOff>7620</xdr:rowOff>
    </xdr:from>
    <xdr:to>
      <xdr:col>2</xdr:col>
      <xdr:colOff>63500</xdr:colOff>
      <xdr:row>9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560" y="7620"/>
              <a:ext cx="1813560" cy="1720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297180</xdr:colOff>
      <xdr:row>0</xdr:row>
      <xdr:rowOff>35560</xdr:rowOff>
    </xdr:from>
    <xdr:to>
      <xdr:col>4</xdr:col>
      <xdr:colOff>281940</xdr:colOff>
      <xdr:row>10</xdr:row>
      <xdr:rowOff>18415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0" y="35560"/>
              <a:ext cx="1798320" cy="1811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454660</xdr:colOff>
      <xdr:row>0</xdr:row>
      <xdr:rowOff>25400</xdr:rowOff>
    </xdr:from>
    <xdr:to>
      <xdr:col>6</xdr:col>
      <xdr:colOff>180340</xdr:colOff>
      <xdr:row>9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ategory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0840" y="25400"/>
              <a:ext cx="1821180" cy="1658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510540</xdr:colOff>
      <xdr:row>0</xdr:row>
      <xdr:rowOff>22860</xdr:rowOff>
    </xdr:from>
    <xdr:to>
      <xdr:col>9</xdr:col>
      <xdr:colOff>99060</xdr:colOff>
      <xdr:row>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alesperson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2220" y="22860"/>
              <a:ext cx="1828800" cy="1765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243840</xdr:colOff>
      <xdr:row>0</xdr:row>
      <xdr:rowOff>66040</xdr:rowOff>
    </xdr:from>
    <xdr:to>
      <xdr:col>11</xdr:col>
      <xdr:colOff>68580</xdr:colOff>
      <xdr:row>9</xdr:row>
      <xdr:rowOff>3175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05800" y="66040"/>
              <a:ext cx="1851660" cy="1583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83820</xdr:colOff>
      <xdr:row>10</xdr:row>
      <xdr:rowOff>99060</xdr:rowOff>
    </xdr:from>
    <xdr:to>
      <xdr:col>2</xdr:col>
      <xdr:colOff>98425</xdr:colOff>
      <xdr:row>12</xdr:row>
      <xdr:rowOff>83820</xdr:rowOff>
    </xdr:to>
    <xdr:sp>
      <xdr:nvSpPr>
        <xdr:cNvPr id="9" name="Text Box 8"/>
        <xdr:cNvSpPr txBox="1"/>
      </xdr:nvSpPr>
      <xdr:spPr>
        <a:xfrm>
          <a:off x="83820" y="1927860"/>
          <a:ext cx="1927225" cy="350520"/>
        </a:xfrm>
        <a:prstGeom prst="rect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 5 Products by</a:t>
          </a:r>
          <a:r>
            <a:rPr lang="en-US" b="1"/>
            <a:t> </a:t>
          </a:r>
          <a:r>
            <a:rPr 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Revenue</a:t>
          </a:r>
          <a:endParaRPr lang="en-US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22860</xdr:colOff>
      <xdr:row>11</xdr:row>
      <xdr:rowOff>22860</xdr:rowOff>
    </xdr:from>
    <xdr:to>
      <xdr:col>5</xdr:col>
      <xdr:colOff>60960</xdr:colOff>
      <xdr:row>12</xdr:row>
      <xdr:rowOff>99060</xdr:rowOff>
    </xdr:to>
    <xdr:sp>
      <xdr:nvSpPr>
        <xdr:cNvPr id="10" name="Text Box 9"/>
        <xdr:cNvSpPr txBox="1"/>
      </xdr:nvSpPr>
      <xdr:spPr>
        <a:xfrm>
          <a:off x="3009900" y="2034540"/>
          <a:ext cx="1813560" cy="25908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REGION</a:t>
          </a:r>
          <a:endParaRPr lang="en-US" sz="1100"/>
        </a:p>
      </xdr:txBody>
    </xdr:sp>
    <xdr:clientData/>
  </xdr:twoCellAnchor>
  <xdr:twoCellAnchor>
    <xdr:from>
      <xdr:col>6</xdr:col>
      <xdr:colOff>68580</xdr:colOff>
      <xdr:row>10</xdr:row>
      <xdr:rowOff>122555</xdr:rowOff>
    </xdr:from>
    <xdr:to>
      <xdr:col>8</xdr:col>
      <xdr:colOff>38100</xdr:colOff>
      <xdr:row>12</xdr:row>
      <xdr:rowOff>87630</xdr:rowOff>
    </xdr:to>
    <xdr:sp>
      <xdr:nvSpPr>
        <xdr:cNvPr id="11" name="Text Box 10"/>
        <xdr:cNvSpPr txBox="1"/>
      </xdr:nvSpPr>
      <xdr:spPr>
        <a:xfrm>
          <a:off x="5890260" y="1951355"/>
          <a:ext cx="2103120" cy="33083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CATEGORY</a:t>
          </a:r>
          <a:endParaRPr lang="en-US" sz="1100"/>
        </a:p>
      </xdr:txBody>
    </xdr:sp>
    <xdr:clientData/>
  </xdr:twoCellAnchor>
  <xdr:twoCellAnchor>
    <xdr:from>
      <xdr:col>9</xdr:col>
      <xdr:colOff>53340</xdr:colOff>
      <xdr:row>10</xdr:row>
      <xdr:rowOff>129540</xdr:rowOff>
    </xdr:from>
    <xdr:to>
      <xdr:col>10</xdr:col>
      <xdr:colOff>1066800</xdr:colOff>
      <xdr:row>12</xdr:row>
      <xdr:rowOff>53340</xdr:rowOff>
    </xdr:to>
    <xdr:sp>
      <xdr:nvSpPr>
        <xdr:cNvPr id="12" name="Text Box 11"/>
        <xdr:cNvSpPr txBox="1"/>
      </xdr:nvSpPr>
      <xdr:spPr>
        <a:xfrm>
          <a:off x="8115300" y="1958340"/>
          <a:ext cx="1965960" cy="28956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</a:bodyPr>
        <a:p>
          <a:pPr algn="l"/>
          <a:r>
            <a:rPr lang="en-IN" alt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SALESOERSON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15875</xdr:colOff>
      <xdr:row>10</xdr:row>
      <xdr:rowOff>53340</xdr:rowOff>
    </xdr:from>
    <xdr:to>
      <xdr:col>14</xdr:col>
      <xdr:colOff>0</xdr:colOff>
      <xdr:row>11</xdr:row>
      <xdr:rowOff>160020</xdr:rowOff>
    </xdr:to>
    <xdr:sp>
      <xdr:nvSpPr>
        <xdr:cNvPr id="13" name="Text Box 12"/>
        <xdr:cNvSpPr txBox="1"/>
      </xdr:nvSpPr>
      <xdr:spPr>
        <a:xfrm>
          <a:off x="11019155" y="1882140"/>
          <a:ext cx="1744345" cy="28956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WEEKLY PERFORMANCE</a:t>
          </a:r>
          <a:endParaRPr lang="en-US" sz="1100"/>
        </a:p>
      </xdr:txBody>
    </xdr:sp>
    <xdr:clientData/>
  </xdr:twoCellAnchor>
  <xdr:twoCellAnchor>
    <xdr:from>
      <xdr:col>0</xdr:col>
      <xdr:colOff>114300</xdr:colOff>
      <xdr:row>21</xdr:row>
      <xdr:rowOff>46355</xdr:rowOff>
    </xdr:from>
    <xdr:to>
      <xdr:col>2</xdr:col>
      <xdr:colOff>1036320</xdr:colOff>
      <xdr:row>23</xdr:row>
      <xdr:rowOff>38100</xdr:rowOff>
    </xdr:to>
    <xdr:sp>
      <xdr:nvSpPr>
        <xdr:cNvPr id="14" name="Text Box 13"/>
        <xdr:cNvSpPr txBox="1"/>
      </xdr:nvSpPr>
      <xdr:spPr>
        <a:xfrm>
          <a:off x="114300" y="3886835"/>
          <a:ext cx="2834640" cy="35750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Salesperson Performance by Region</a:t>
          </a:r>
          <a:endParaRPr 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68580</xdr:colOff>
      <xdr:row>22</xdr:row>
      <xdr:rowOff>7620</xdr:rowOff>
    </xdr:from>
    <xdr:to>
      <xdr:col>6</xdr:col>
      <xdr:colOff>1028700</xdr:colOff>
      <xdr:row>24</xdr:row>
      <xdr:rowOff>7620</xdr:rowOff>
    </xdr:to>
    <xdr:sp>
      <xdr:nvSpPr>
        <xdr:cNvPr id="15" name="Text Box 14"/>
        <xdr:cNvSpPr txBox="1"/>
      </xdr:nvSpPr>
      <xdr:spPr>
        <a:xfrm>
          <a:off x="3794760" y="4030980"/>
          <a:ext cx="3055620" cy="36576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</a:bodyPr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Revenue and Quantity by Category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45720</xdr:colOff>
      <xdr:row>21</xdr:row>
      <xdr:rowOff>167640</xdr:rowOff>
    </xdr:from>
    <xdr:to>
      <xdr:col>12</xdr:col>
      <xdr:colOff>0</xdr:colOff>
      <xdr:row>24</xdr:row>
      <xdr:rowOff>38100</xdr:rowOff>
    </xdr:to>
    <xdr:sp>
      <xdr:nvSpPr>
        <xdr:cNvPr id="16" name="Text Box 15"/>
        <xdr:cNvSpPr txBox="1"/>
      </xdr:nvSpPr>
      <xdr:spPr>
        <a:xfrm>
          <a:off x="8107680" y="4008120"/>
          <a:ext cx="2895600" cy="41910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Category and Region</a:t>
          </a:r>
          <a:endParaRPr lang="en-U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3.5639583333" refreshedBy="Acer" recordCount="10">
  <cacheSource type="worksheet">
    <worksheetSource ref="A1:A1" sheet="pivot table2"/>
  </cacheSource>
  <cacheFields count="10">
    <cacheField name="date" numFmtId="180">
      <sharedItems containsSemiMixedTypes="0" containsString="0" containsNonDate="0" containsDate="1" minDate="2025-01-01T00:00:00" maxDate="2025-01-05T00:00:00" count="5">
        <d v="2025-01-01T00:00:00"/>
        <d v="2025-01-02T00:00:00"/>
        <d v="2025-01-03T00:00:00"/>
        <d v="2025-01-04T00:00:00"/>
        <d v="2025-01-05T00:00:00"/>
      </sharedItems>
    </cacheField>
    <cacheField name="Invoice_ID" numFmtId="0">
      <sharedItems count="10">
        <s v="INV001"/>
        <s v="INV002"/>
        <s v="INV003"/>
        <s v="INV004"/>
        <s v="INV005"/>
        <s v="INV006"/>
        <s v="INV007"/>
        <s v="INV008"/>
        <s v="INV009"/>
        <s v="INV010"/>
      </sharedItems>
    </cacheField>
    <cacheField name="Customer_Name" numFmtId="0">
      <sharedItems count="10">
        <s v="Rohan Sharma"/>
        <s v="Priya Verma"/>
        <s v="Sachin Patel"/>
        <s v="Anita Gupta"/>
        <s v="Aman Kumar"/>
        <s v="Shruti Desai"/>
        <s v="Dev Mehta"/>
        <s v="Nikita Jain"/>
        <s v="Arjun Singh"/>
        <s v="Meera Nair"/>
      </sharedItems>
    </cacheField>
    <cacheField name="Product" numFmtId="0">
      <sharedItems count="10">
        <s v="Wireless Mouse"/>
        <s v="T-Shirt"/>
        <s v="Laptop Bag"/>
        <s v="Keyboard"/>
        <s v="Jeans"/>
        <s v="Smartwatch"/>
        <s v="Notebook"/>
        <s v="Pendrive 32GB"/>
        <s v="Sports Shoes"/>
        <s v="Backpack"/>
      </sharedItems>
    </cacheField>
    <cacheField name="Category" numFmtId="0">
      <sharedItems count="5">
        <s v="Electronics"/>
        <s v="Apparel"/>
        <s v="Accessories"/>
        <s v="Stationery"/>
        <s v="Footwear"/>
      </sharedItems>
    </cacheField>
    <cacheField name="Quantity" numFmtId="0">
      <sharedItems containsSemiMixedTypes="0" containsString="0" containsNumber="1" containsInteger="1" minValue="5" maxValue="40" count="9">
        <n v="29"/>
        <n v="25"/>
        <n v="40"/>
        <n v="18"/>
        <n v="30"/>
        <n v="15"/>
        <n v="8"/>
        <n v="5"/>
        <n v="19"/>
      </sharedItems>
    </cacheField>
    <cacheField name="Unit_Price" numFmtId="0">
      <sharedItems containsSemiMixedTypes="0" containsString="0" containsNumber="1" containsInteger="1" minValue="60" maxValue="4999" count="9">
        <n v="599"/>
        <n v="799"/>
        <n v="1299"/>
        <n v="999"/>
        <n v="1499"/>
        <n v="4999"/>
        <n v="60"/>
        <n v="2499"/>
        <n v="1599"/>
      </sharedItems>
    </cacheField>
    <cacheField name="revenue" numFmtId="0">
      <sharedItems containsSemiMixedTypes="0" containsString="0" containsNumber="1" containsInteger="1" minValue="480" maxValue="74985" count="10">
        <n v="17371"/>
        <n v="19975"/>
        <n v="51960"/>
        <n v="17982"/>
        <n v="44970"/>
        <n v="74985"/>
        <n v="480"/>
        <n v="3995"/>
        <n v="44982"/>
        <n v="30381"/>
      </sharedItems>
    </cacheField>
    <cacheField name="Salesperson" numFmtId="0">
      <sharedItems count="4">
        <s v="Amit"/>
        <s v="Neha"/>
        <s v="Rahul"/>
        <s v="Kajal"/>
      </sharedItems>
    </cacheField>
    <cacheField name="Region" numFmtId="0">
      <sharedItems count="4">
        <s v="North"/>
        <s v="West"/>
        <s v="South"/>
        <s v="Eas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1.9919212963" refreshedBy="Acer" recordCount="10">
  <cacheSource type="worksheet">
    <worksheetSource ref="A1:A1" sheet="pivot table2"/>
  </cacheSource>
  <cacheFields count="12">
    <cacheField name="date" numFmtId="180">
      <sharedItems containsSemiMixedTypes="0" containsString="0" containsNonDate="0" containsDate="1" minDate="2025-01-01T00:00:00" maxDate="2025-01-05T00:00:00" count="5">
        <d v="2025-01-01T00:00:00"/>
        <d v="2025-01-02T00:00:00"/>
        <d v="2025-01-03T00:00:00"/>
        <d v="2025-01-04T00:00:00"/>
        <d v="2025-01-05T00:00:00"/>
      </sharedItems>
    </cacheField>
    <cacheField name="Invoice_ID" numFmtId="0">
      <sharedItems count="10">
        <s v="INV001"/>
        <s v="INV002"/>
        <s v="INV003"/>
        <s v="INV004"/>
        <s v="INV005"/>
        <s v="INV006"/>
        <s v="INV007"/>
        <s v="INV008"/>
        <s v="INV009"/>
        <s v="INV010"/>
      </sharedItems>
    </cacheField>
    <cacheField name="Customer_Name" numFmtId="0">
      <sharedItems count="10">
        <s v="Rohan Sharma"/>
        <s v="Priya Verma"/>
        <s v="Sachin Patel"/>
        <s v="Anita Gupta"/>
        <s v="Aman Kumar"/>
        <s v="Shruti Desai"/>
        <s v="Dev Mehta"/>
        <s v="Nikita Jain"/>
        <s v="Arjun Singh"/>
        <s v="Meera Nair"/>
      </sharedItems>
    </cacheField>
    <cacheField name="Product" numFmtId="0">
      <sharedItems count="10">
        <s v="Wireless Mouse"/>
        <s v="T-Shirt"/>
        <s v="Laptop Bag"/>
        <s v="Keyboard"/>
        <s v="Jeans"/>
        <s v="Smartwatch"/>
        <s v="Notebook"/>
        <s v="Pendrive 32GB"/>
        <s v="Sports Shoes"/>
        <s v="Backpack"/>
      </sharedItems>
    </cacheField>
    <cacheField name="Category" numFmtId="0">
      <sharedItems count="5">
        <s v="Electronics"/>
        <s v="Apparel"/>
        <s v="Accessories"/>
        <s v="Stationery"/>
        <s v="Footwear"/>
      </sharedItems>
    </cacheField>
    <cacheField name="Quantity" numFmtId="0">
      <sharedItems containsSemiMixedTypes="0" containsString="0" containsNumber="1" containsInteger="1" minValue="5" maxValue="40" count="9">
        <n v="29"/>
        <n v="25"/>
        <n v="40"/>
        <n v="18"/>
        <n v="30"/>
        <n v="15"/>
        <n v="8"/>
        <n v="5"/>
        <n v="19"/>
      </sharedItems>
    </cacheField>
    <cacheField name="Unit_Price" numFmtId="0">
      <sharedItems containsSemiMixedTypes="0" containsString="0" containsNumber="1" containsInteger="1" minValue="60" maxValue="4999" count="9">
        <n v="599"/>
        <n v="799"/>
        <n v="1299"/>
        <n v="999"/>
        <n v="1499"/>
        <n v="4999"/>
        <n v="60"/>
        <n v="2499"/>
        <n v="1599"/>
      </sharedItems>
    </cacheField>
    <cacheField name="revenue" numFmtId="0">
      <sharedItems containsSemiMixedTypes="0" containsString="0" containsNumber="1" containsInteger="1" minValue="480" maxValue="74985" count="10">
        <n v="17371"/>
        <n v="19975"/>
        <n v="51960"/>
        <n v="17982"/>
        <n v="44970"/>
        <n v="74985"/>
        <n v="480"/>
        <n v="3995"/>
        <n v="44982"/>
        <n v="30381"/>
      </sharedItems>
    </cacheField>
    <cacheField name="Salesperson" numFmtId="0">
      <sharedItems count="4">
        <s v="Amit"/>
        <s v="Neha"/>
        <s v="Rahul"/>
        <s v="Kajal"/>
      </sharedItems>
    </cacheField>
    <cacheField name="Region" numFmtId="0">
      <sharedItems count="4">
        <s v="North"/>
        <s v="West"/>
        <s v="South"/>
        <s v="East"/>
      </sharedItems>
    </cacheField>
    <cacheField name="PROFIT" numFmtId="0">
      <sharedItems containsSemiMixedTypes="0" containsString="0" containsNumber="1" containsInteger="1" minValue="420" maxValue="69986" count="10">
        <n v="16772"/>
        <n v="19176"/>
        <n v="50661"/>
        <n v="16983"/>
        <n v="43471"/>
        <n v="69986"/>
        <n v="420"/>
        <n v="3196"/>
        <n v="42483"/>
        <n v="28782"/>
      </sharedItems>
    </cacheField>
    <cacheField name="Field1" numFmtId="0" formula="PROFIT/revenue*100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</r>
  <r>
    <x v="1"/>
    <x v="2"/>
    <x v="2"/>
    <x v="2"/>
    <x v="2"/>
    <x v="2"/>
    <x v="2"/>
    <x v="2"/>
    <x v="2"/>
    <x v="2"/>
  </r>
  <r>
    <x v="1"/>
    <x v="3"/>
    <x v="3"/>
    <x v="3"/>
    <x v="0"/>
    <x v="3"/>
    <x v="3"/>
    <x v="3"/>
    <x v="0"/>
    <x v="0"/>
  </r>
  <r>
    <x v="2"/>
    <x v="4"/>
    <x v="4"/>
    <x v="4"/>
    <x v="1"/>
    <x v="4"/>
    <x v="4"/>
    <x v="4"/>
    <x v="1"/>
    <x v="1"/>
  </r>
  <r>
    <x v="2"/>
    <x v="5"/>
    <x v="5"/>
    <x v="5"/>
    <x v="0"/>
    <x v="5"/>
    <x v="5"/>
    <x v="5"/>
    <x v="2"/>
    <x v="2"/>
  </r>
  <r>
    <x v="3"/>
    <x v="6"/>
    <x v="6"/>
    <x v="6"/>
    <x v="3"/>
    <x v="6"/>
    <x v="6"/>
    <x v="6"/>
    <x v="3"/>
    <x v="3"/>
  </r>
  <r>
    <x v="3"/>
    <x v="7"/>
    <x v="7"/>
    <x v="7"/>
    <x v="0"/>
    <x v="7"/>
    <x v="1"/>
    <x v="7"/>
    <x v="0"/>
    <x v="0"/>
  </r>
  <r>
    <x v="4"/>
    <x v="8"/>
    <x v="8"/>
    <x v="8"/>
    <x v="4"/>
    <x v="3"/>
    <x v="7"/>
    <x v="8"/>
    <x v="1"/>
    <x v="1"/>
  </r>
  <r>
    <x v="4"/>
    <x v="9"/>
    <x v="9"/>
    <x v="9"/>
    <x v="2"/>
    <x v="8"/>
    <x v="8"/>
    <x v="9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</r>
  <r>
    <x v="1"/>
    <x v="2"/>
    <x v="2"/>
    <x v="2"/>
    <x v="2"/>
    <x v="2"/>
    <x v="2"/>
    <x v="2"/>
    <x v="2"/>
    <x v="2"/>
    <x v="2"/>
  </r>
  <r>
    <x v="1"/>
    <x v="3"/>
    <x v="3"/>
    <x v="3"/>
    <x v="0"/>
    <x v="3"/>
    <x v="3"/>
    <x v="3"/>
    <x v="0"/>
    <x v="0"/>
    <x v="3"/>
  </r>
  <r>
    <x v="2"/>
    <x v="4"/>
    <x v="4"/>
    <x v="4"/>
    <x v="1"/>
    <x v="4"/>
    <x v="4"/>
    <x v="4"/>
    <x v="1"/>
    <x v="1"/>
    <x v="4"/>
  </r>
  <r>
    <x v="2"/>
    <x v="5"/>
    <x v="5"/>
    <x v="5"/>
    <x v="0"/>
    <x v="5"/>
    <x v="5"/>
    <x v="5"/>
    <x v="2"/>
    <x v="2"/>
    <x v="5"/>
  </r>
  <r>
    <x v="3"/>
    <x v="6"/>
    <x v="6"/>
    <x v="6"/>
    <x v="3"/>
    <x v="6"/>
    <x v="6"/>
    <x v="6"/>
    <x v="3"/>
    <x v="3"/>
    <x v="6"/>
  </r>
  <r>
    <x v="3"/>
    <x v="7"/>
    <x v="7"/>
    <x v="7"/>
    <x v="0"/>
    <x v="7"/>
    <x v="1"/>
    <x v="7"/>
    <x v="0"/>
    <x v="0"/>
    <x v="7"/>
  </r>
  <r>
    <x v="4"/>
    <x v="8"/>
    <x v="8"/>
    <x v="8"/>
    <x v="4"/>
    <x v="3"/>
    <x v="7"/>
    <x v="8"/>
    <x v="1"/>
    <x v="1"/>
    <x v="8"/>
  </r>
  <r>
    <x v="4"/>
    <x v="9"/>
    <x v="9"/>
    <x v="9"/>
    <x v="2"/>
    <x v="8"/>
    <x v="8"/>
    <x v="9"/>
    <x v="2"/>
    <x v="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4:B20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measureFilter="1" compact="0" sortType="de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3"/>
  </rowFields>
  <rowItems count="6">
    <i>
      <x v="5"/>
    </i>
    <i>
      <x v="2"/>
    </i>
    <i>
      <x v="8"/>
    </i>
    <i>
      <x v="4"/>
    </i>
    <i>
      <x v="9"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filters count="1">
    <filter evalOrder="-1" fld="3" iMeasureFld="0" id="3" type="valueGreaterThanOrEqual">
      <autoFilter ref="A1">
        <filterColumn colId="0">
          <customFilters>
            <customFilter operator="greaterThanOrEqual" val="3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4:E19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3"/>
        <item x="0"/>
        <item x="2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4:H20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4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14:K19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axis="axisRow" compact="0" sortType="descending" showAll="0">
      <items count="5">
        <item x="0"/>
        <item x="1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8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14:N20" firstHeaderRow="1" firstDataRow="1" firstDataCol="1"/>
  <pivotFields count="10">
    <pivotField axis="axisRow" compact="0" numFmtId="180" showAll="0">
      <items count="6">
        <item x="0"/>
        <item sd="0" x="1"/>
        <item sd="0" x="2"/>
        <item sd="0" x="3"/>
        <item sd="0"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P14:Q24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5:C34" firstHeaderRow="1" firstDataRow="1" firstDataCol="2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axis="axisRow" compact="0" sortType="descending" showAll="0">
      <items count="5">
        <item x="2"/>
        <item x="1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5">
        <item x="3"/>
        <item x="0"/>
        <item x="2"/>
        <item x="1"/>
        <item t="default"/>
      </items>
    </pivotField>
  </pivotFields>
  <rowFields count="2">
    <field x="9"/>
    <field x="8"/>
  </rowFields>
  <rowItems count="9">
    <i>
      <x/>
    </i>
    <i r="1">
      <x v="2"/>
    </i>
    <i>
      <x v="1"/>
    </i>
    <i r="1">
      <x v="3"/>
    </i>
    <i>
      <x v="2"/>
    </i>
    <i r="1">
      <x/>
    </i>
    <i>
      <x v="3"/>
    </i>
    <i r="1">
      <x v="1"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6:G37" firstHeaderRow="0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3"/>
  </rowFields>
  <rowItems count="11">
    <i>
      <x v="5"/>
    </i>
    <i>
      <x v="2"/>
    </i>
    <i>
      <x v="8"/>
    </i>
    <i>
      <x v="4"/>
    </i>
    <i>
      <x v="9"/>
    </i>
    <i>
      <x v="1"/>
    </i>
    <i>
      <x v="3"/>
    </i>
    <i>
      <x/>
    </i>
    <i>
      <x v="7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26:L38" firstHeaderRow="1" firstDataRow="1" firstDataCol="2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3"/>
        <item x="0"/>
        <item x="2"/>
        <item x="1"/>
        <item t="default"/>
      </items>
    </pivotField>
  </pivotFields>
  <rowFields count="2">
    <field x="4"/>
    <field x="9"/>
  </rowFields>
  <rowItems count="12">
    <i>
      <x/>
    </i>
    <i r="1">
      <x v="1"/>
    </i>
    <i r="1">
      <x v="2"/>
    </i>
    <i>
      <x v="2"/>
    </i>
    <i r="1">
      <x v="2"/>
    </i>
    <i>
      <x v="1"/>
    </i>
    <i r="1">
      <x v="3"/>
    </i>
    <i>
      <x v="4"/>
    </i>
    <i r="1">
      <x v="3"/>
    </i>
    <i>
      <x v="3"/>
    </i>
    <i r="1">
      <x/>
    </i>
    <i t="grand">
      <x/>
    </i>
  </rowItems>
  <colItems count="1">
    <i/>
  </colItems>
  <dataFields count="1">
    <dataField name="Sum of revenu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5:C26" firstHeaderRow="0" firstDataRow="1" firstDataCol="1"/>
  <pivotFields count="12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6"/>
        <item x="0"/>
        <item x="1"/>
        <item x="3"/>
        <item x="2"/>
        <item x="4"/>
        <item x="8"/>
        <item x="7"/>
        <item x="5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/>
    <pivotField compact="0" showAll="0"/>
    <pivotField axis="axisRow" compact="0" showAll="0">
      <items count="11">
        <item x="6"/>
        <item x="7"/>
        <item x="0"/>
        <item x="3"/>
        <item x="1"/>
        <item x="9"/>
        <item x="8"/>
        <item x="4"/>
        <item x="2"/>
        <item x="5"/>
        <item t="default"/>
      </items>
    </pivotField>
    <pivotField dataField="1" dragToCol="0" dragToPage="0" dragToRow="0" compact="0"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profit margin" fld="11" baseField="0" baseItem="0"/>
  </dataFields>
  <formats count="29">
    <format dxfId="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fieldPosition="0">
        <references count="1">
          <reference field="4294967294" count="1">
            <x v="1"/>
          </reference>
        </references>
      </pivotArea>
    </format>
    <format dxfId="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fieldPosition="0">
        <references count="1">
          <reference field="4294967294" count="1">
            <x v="1"/>
          </reference>
        </references>
      </pivotArea>
    </format>
    <format dxfId="1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fieldPosition="0">
        <references count="1">
          <reference field="4294967294" count="1">
            <x v="1"/>
          </reference>
        </references>
      </pivotArea>
    </format>
    <format dxfId="1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fieldPosition="0">
        <references count="1">
          <reference field="4294967294" count="1">
            <x v="1"/>
          </reference>
        </references>
      </pivotArea>
    </format>
    <format dxfId="1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fieldPosition="0">
        <references count="1">
          <reference field="4294967294" count="1">
            <x v="1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fieldPosition="0">
        <references count="1">
          <reference field="4294967294" count="1">
            <x v="1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6" sourceName="date">
  <pivotTables>
    <pivotTable tabId="3" name="PivotTable4"/>
    <pivotTable tabId="3" name="PivotTable21"/>
  </pivotTables>
  <data>
    <tabular pivotCacheId="1">
      <items count="5">
        <i x="0" s="1"/>
        <i x="1" s="1"/>
        <i x="2" s="1"/>
        <i x="3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3" name="PivotTable4"/>
    <pivotTable tabId="3" name="PivotTable21"/>
  </pivotTables>
  <data>
    <tabular pivotCacheId="1">
      <items count="10">
        <i x="9" s="1"/>
        <i x="4" s="1"/>
        <i x="3" s="1"/>
        <i x="2" s="1"/>
        <i x="6" s="1"/>
        <i x="7" s="1"/>
        <i x="5" s="1"/>
        <i x="8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7" sourceName="Category">
  <pivotTables>
    <pivotTable tabId="3" name="PivotTable4"/>
    <pivotTable tabId="3" name="PivotTable21"/>
  </pivotTables>
  <data>
    <tabular pivotCacheId="1">
      <items count="5">
        <i x="2" s="1"/>
        <i x="1" s="1"/>
        <i x="0" s="1"/>
        <i x="4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8" sourceName="Salesperson">
  <pivotTables>
    <pivotTable tabId="3" name="PivotTable4"/>
    <pivotTable tabId="3" name="PivotTable21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9" sourceName="Region">
  <pivotTables>
    <pivotTable tabId="3" name="PivotTable4"/>
    <pivotTable tabId="3" name="PivotTable21"/>
  </pivotTables>
  <data>
    <tabular pivotCacheId="1">
      <items count="4">
        <i x="3" s="1"/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 6" cache="Slicer_date6" caption="Date" startItem="1" rowHeight="225425"/>
  <slicer name="Product" cache="Slicer_Product" caption="Product" startItem="5" rowHeight="225425"/>
  <slicer name="Category 7" cache="Slicer_Category7" caption="Category" rowHeight="225425"/>
  <slicer name="Salesperson 8" cache="Slicer_Salesperson8" caption="Salesperson" rowHeight="225425"/>
  <slicer name="Region 9" cache="Slicer_Region9" caption="Region" rowHeight="225425"/>
</slicers>
</file>

<file path=xl/tables/table1.xml><?xml version="1.0" encoding="utf-8"?>
<table xmlns="http://schemas.openxmlformats.org/spreadsheetml/2006/main" id="5" name="Table5" displayName="Table5" ref="A1:K2" totalsRowShown="0">
  <autoFilter xmlns:etc="http://www.wps.cn/officeDocument/2017/etCustomData" ref="A1:K2" etc:filterBottomFollowUsedRange="0"/>
  <tableColumns count="11">
    <tableColumn id="1" name="date" dataDxfId="29"/>
    <tableColumn id="2" name="Invoice_ID"/>
    <tableColumn id="3" name="Customer_Name"/>
    <tableColumn id="4" name="Product"/>
    <tableColumn id="5" name="Category"/>
    <tableColumn id="6" name="Quantity"/>
    <tableColumn id="7" name="Unit_Price"/>
    <tableColumn id="8" name="revenue"/>
    <tableColumn id="9" name="Salesperson"/>
    <tableColumn id="10" name="Region"/>
    <tableColumn id="11" name="PROFIT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:K2" totalsRowShown="0">
  <autoFilter xmlns:etc="http://www.wps.cn/officeDocument/2017/etCustomData" ref="A1:K2" etc:filterBottomFollowUsedRange="0"/>
  <tableColumns count="11">
    <tableColumn id="1" name="date" dataDxfId="30"/>
    <tableColumn id="2" name="Invoice_ID"/>
    <tableColumn id="3" name="Customer_Name"/>
    <tableColumn id="4" name="Product"/>
    <tableColumn id="5" name="Category"/>
    <tableColumn id="6" name="Quantity"/>
    <tableColumn id="7" name="Unit_Price"/>
    <tableColumn id="8" name="revenue"/>
    <tableColumn id="9" name="Salesperson"/>
    <tableColumn id="10" name="Region"/>
    <tableColumn id="11" name="PROFIT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1" name="Table2_73" displayName="Table2_73" ref="A1:L11" totalsRowShown="0">
  <autoFilter xmlns:etc="http://www.wps.cn/officeDocument/2017/etCustomData" ref="A1:L11" etc:filterBottomFollowUsedRange="0"/>
  <tableColumns count="12">
    <tableColumn id="1" name="date" dataDxfId="31"/>
    <tableColumn id="2" name="Invoice_ID" dataDxfId="32"/>
    <tableColumn id="3" name="Customer_Name" dataDxfId="33"/>
    <tableColumn id="4" name="Product" dataDxfId="34"/>
    <tableColumn id="5" name="Category" dataDxfId="35"/>
    <tableColumn id="6" name="Quantity" dataDxfId="36"/>
    <tableColumn id="7" name="Unit_Price" dataDxfId="37"/>
    <tableColumn id="8" name="revenue" dataDxfId="38">
      <calculatedColumnFormula>PRODUCT(F2:G2)</calculatedColumnFormula>
    </tableColumn>
    <tableColumn id="9" name="Salesperson" dataDxfId="39"/>
    <tableColumn id="10" name="Region" dataDxfId="40"/>
    <tableColumn id="11" name="PROFIT" dataDxfId="41">
      <calculatedColumnFormula>H2-G2</calculatedColumnFormula>
    </tableColumn>
    <tableColumn id="13" name="cost per unit" dataDxfId="42">
      <calculatedColumnFormula>G2/F2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microsoft.com/office/2007/relationships/slicer" Target="../slicers/slicer1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4:Q38"/>
  <sheetViews>
    <sheetView topLeftCell="A16" workbookViewId="0">
      <selection activeCell="G43" sqref="G43"/>
    </sheetView>
  </sheetViews>
  <sheetFormatPr defaultColWidth="8.88888888888889" defaultRowHeight="14.4"/>
  <cols>
    <col min="1" max="1" width="12.2222222222222"/>
    <col min="2" max="3" width="15.6666666666667"/>
    <col min="4" max="4" width="10.7777777777778" customWidth="1"/>
    <col min="5" max="5" width="15.1111111111111"/>
    <col min="6" max="7" width="15.4444444444444"/>
    <col min="8" max="8" width="15.6666666666667"/>
    <col min="9" max="9" width="1.55555555555556" customWidth="1"/>
    <col min="10" max="10" width="13.8888888888889"/>
    <col min="11" max="11" width="15.6666666666667"/>
    <col min="12" max="12" width="13.3333333333333" customWidth="1"/>
    <col min="13" max="13" width="11.6666666666667"/>
    <col min="14" max="14" width="14" customWidth="1"/>
    <col min="15" max="15" width="4.66666666666667" customWidth="1"/>
    <col min="16" max="16" width="12.4444444444444"/>
    <col min="17" max="18" width="15.6666666666667"/>
  </cols>
  <sheetData>
    <row r="14" spans="1:17">
      <c r="A14" t="s">
        <v>0</v>
      </c>
      <c r="B14" t="s">
        <v>1</v>
      </c>
      <c r="D14" t="s">
        <v>2</v>
      </c>
      <c r="E14" t="s">
        <v>1</v>
      </c>
      <c r="G14" t="s">
        <v>3</v>
      </c>
      <c r="H14" t="s">
        <v>1</v>
      </c>
      <c r="J14" t="s">
        <v>4</v>
      </c>
      <c r="K14" t="s">
        <v>1</v>
      </c>
      <c r="M14" t="s">
        <v>5</v>
      </c>
      <c r="N14" t="s">
        <v>1</v>
      </c>
      <c r="P14" t="s">
        <v>6</v>
      </c>
      <c r="Q14" t="s">
        <v>1</v>
      </c>
    </row>
    <row r="15" spans="1:17">
      <c r="A15" t="s">
        <v>7</v>
      </c>
      <c r="B15">
        <v>74985</v>
      </c>
      <c r="D15" t="s">
        <v>8</v>
      </c>
      <c r="E15">
        <v>480</v>
      </c>
      <c r="G15" t="s">
        <v>9</v>
      </c>
      <c r="H15">
        <v>114333</v>
      </c>
      <c r="J15" t="s">
        <v>10</v>
      </c>
      <c r="K15">
        <v>157326</v>
      </c>
      <c r="M15" s="8">
        <v>45658</v>
      </c>
      <c r="N15">
        <v>37346</v>
      </c>
      <c r="P15">
        <v>599</v>
      </c>
      <c r="Q15">
        <v>17371</v>
      </c>
    </row>
    <row r="16" spans="1:17">
      <c r="A16" t="s">
        <v>11</v>
      </c>
      <c r="B16">
        <v>51960</v>
      </c>
      <c r="D16" t="s">
        <v>12</v>
      </c>
      <c r="E16">
        <v>39348</v>
      </c>
      <c r="G16" t="s">
        <v>13</v>
      </c>
      <c r="H16">
        <v>82341</v>
      </c>
      <c r="J16" t="s">
        <v>14</v>
      </c>
      <c r="K16">
        <v>109927</v>
      </c>
      <c r="M16" s="8">
        <v>45659</v>
      </c>
      <c r="N16">
        <v>69942</v>
      </c>
      <c r="P16">
        <v>799</v>
      </c>
      <c r="Q16">
        <v>23970</v>
      </c>
    </row>
    <row r="17" spans="1:17">
      <c r="A17" t="s">
        <v>15</v>
      </c>
      <c r="B17">
        <v>44982</v>
      </c>
      <c r="D17" t="s">
        <v>16</v>
      </c>
      <c r="E17">
        <v>157326</v>
      </c>
      <c r="G17" t="s">
        <v>17</v>
      </c>
      <c r="H17">
        <v>64945</v>
      </c>
      <c r="J17" t="s">
        <v>18</v>
      </c>
      <c r="K17">
        <v>39348</v>
      </c>
      <c r="M17" s="8">
        <v>45660</v>
      </c>
      <c r="N17">
        <v>119955</v>
      </c>
      <c r="P17">
        <v>1299</v>
      </c>
      <c r="Q17">
        <v>51960</v>
      </c>
    </row>
    <row r="18" spans="1:17">
      <c r="A18" t="s">
        <v>19</v>
      </c>
      <c r="B18">
        <v>44970</v>
      </c>
      <c r="D18" t="s">
        <v>20</v>
      </c>
      <c r="E18">
        <v>109927</v>
      </c>
      <c r="G18" t="s">
        <v>21</v>
      </c>
      <c r="H18">
        <v>44982</v>
      </c>
      <c r="J18" t="s">
        <v>22</v>
      </c>
      <c r="K18">
        <v>480</v>
      </c>
      <c r="M18" s="8">
        <v>45661</v>
      </c>
      <c r="N18">
        <v>4475</v>
      </c>
      <c r="P18">
        <v>999</v>
      </c>
      <c r="Q18">
        <v>17982</v>
      </c>
    </row>
    <row r="19" spans="1:17">
      <c r="A19" t="s">
        <v>23</v>
      </c>
      <c r="B19">
        <v>30381</v>
      </c>
      <c r="D19" t="s">
        <v>24</v>
      </c>
      <c r="E19">
        <v>307081</v>
      </c>
      <c r="G19" t="s">
        <v>25</v>
      </c>
      <c r="H19">
        <v>480</v>
      </c>
      <c r="J19" t="s">
        <v>24</v>
      </c>
      <c r="K19">
        <v>307081</v>
      </c>
      <c r="M19" s="8">
        <v>45662</v>
      </c>
      <c r="N19">
        <v>75363</v>
      </c>
      <c r="P19">
        <v>1499</v>
      </c>
      <c r="Q19">
        <v>44970</v>
      </c>
    </row>
    <row r="20" spans="1:17">
      <c r="A20" t="s">
        <v>24</v>
      </c>
      <c r="B20">
        <v>247278</v>
      </c>
      <c r="G20" t="s">
        <v>24</v>
      </c>
      <c r="H20">
        <v>307081</v>
      </c>
      <c r="M20" t="s">
        <v>24</v>
      </c>
      <c r="N20">
        <v>307081</v>
      </c>
      <c r="P20">
        <v>4999</v>
      </c>
      <c r="Q20">
        <v>74985</v>
      </c>
    </row>
    <row r="21" spans="16:17">
      <c r="P21">
        <v>60</v>
      </c>
      <c r="Q21">
        <v>480</v>
      </c>
    </row>
    <row r="22" spans="16:17">
      <c r="P22">
        <v>2499</v>
      </c>
      <c r="Q22">
        <v>44982</v>
      </c>
    </row>
    <row r="23" spans="16:17">
      <c r="P23">
        <v>1599</v>
      </c>
      <c r="Q23">
        <v>30381</v>
      </c>
    </row>
    <row r="24" spans="16:17">
      <c r="P24" t="s">
        <v>24</v>
      </c>
      <c r="Q24">
        <v>307081</v>
      </c>
    </row>
    <row r="25" spans="1:3">
      <c r="A25" t="s">
        <v>2</v>
      </c>
      <c r="B25" t="s">
        <v>4</v>
      </c>
      <c r="C25" t="s">
        <v>1</v>
      </c>
    </row>
    <row r="26" spans="1:12">
      <c r="A26" t="s">
        <v>8</v>
      </c>
      <c r="C26">
        <v>480</v>
      </c>
      <c r="E26" t="s">
        <v>0</v>
      </c>
      <c r="F26" t="s">
        <v>26</v>
      </c>
      <c r="G26" t="s">
        <v>1</v>
      </c>
      <c r="J26" t="s">
        <v>3</v>
      </c>
      <c r="K26" t="s">
        <v>2</v>
      </c>
      <c r="L26" t="s">
        <v>1</v>
      </c>
    </row>
    <row r="27" spans="2:12">
      <c r="B27" t="s">
        <v>22</v>
      </c>
      <c r="C27">
        <v>480</v>
      </c>
      <c r="E27" t="s">
        <v>7</v>
      </c>
      <c r="F27">
        <v>15</v>
      </c>
      <c r="G27">
        <v>74985</v>
      </c>
      <c r="J27" t="s">
        <v>9</v>
      </c>
      <c r="L27">
        <v>114333</v>
      </c>
    </row>
    <row r="28" spans="1:12">
      <c r="A28" t="s">
        <v>12</v>
      </c>
      <c r="C28">
        <v>39348</v>
      </c>
      <c r="E28" t="s">
        <v>11</v>
      </c>
      <c r="F28">
        <v>40</v>
      </c>
      <c r="G28">
        <v>51960</v>
      </c>
      <c r="K28" t="s">
        <v>12</v>
      </c>
      <c r="L28">
        <v>39348</v>
      </c>
    </row>
    <row r="29" spans="2:12">
      <c r="B29" t="s">
        <v>18</v>
      </c>
      <c r="C29">
        <v>39348</v>
      </c>
      <c r="E29" t="s">
        <v>15</v>
      </c>
      <c r="F29">
        <v>18</v>
      </c>
      <c r="G29">
        <v>44982</v>
      </c>
      <c r="K29" t="s">
        <v>16</v>
      </c>
      <c r="L29">
        <v>74985</v>
      </c>
    </row>
    <row r="30" spans="1:12">
      <c r="A30" t="s">
        <v>16</v>
      </c>
      <c r="C30">
        <v>157326</v>
      </c>
      <c r="E30" t="s">
        <v>19</v>
      </c>
      <c r="F30">
        <v>30</v>
      </c>
      <c r="G30">
        <v>44970</v>
      </c>
      <c r="J30" t="s">
        <v>13</v>
      </c>
      <c r="L30">
        <v>82341</v>
      </c>
    </row>
    <row r="31" spans="2:12">
      <c r="B31" t="s">
        <v>10</v>
      </c>
      <c r="C31">
        <v>157326</v>
      </c>
      <c r="E31" t="s">
        <v>23</v>
      </c>
      <c r="F31">
        <v>19</v>
      </c>
      <c r="G31">
        <v>30381</v>
      </c>
      <c r="K31" t="s">
        <v>16</v>
      </c>
      <c r="L31">
        <v>82341</v>
      </c>
    </row>
    <row r="32" spans="1:12">
      <c r="A32" t="s">
        <v>20</v>
      </c>
      <c r="C32">
        <v>109927</v>
      </c>
      <c r="E32" t="s">
        <v>27</v>
      </c>
      <c r="F32">
        <v>25</v>
      </c>
      <c r="G32">
        <v>19975</v>
      </c>
      <c r="J32" t="s">
        <v>17</v>
      </c>
      <c r="L32">
        <v>64945</v>
      </c>
    </row>
    <row r="33" spans="2:12">
      <c r="B33" t="s">
        <v>14</v>
      </c>
      <c r="C33">
        <v>109927</v>
      </c>
      <c r="E33" t="s">
        <v>28</v>
      </c>
      <c r="F33">
        <v>18</v>
      </c>
      <c r="G33">
        <v>17982</v>
      </c>
      <c r="K33" t="s">
        <v>20</v>
      </c>
      <c r="L33">
        <v>64945</v>
      </c>
    </row>
    <row r="34" spans="1:12">
      <c r="A34" t="s">
        <v>24</v>
      </c>
      <c r="C34">
        <v>307081</v>
      </c>
      <c r="E34" t="s">
        <v>29</v>
      </c>
      <c r="F34">
        <v>29</v>
      </c>
      <c r="G34">
        <v>17371</v>
      </c>
      <c r="J34" t="s">
        <v>21</v>
      </c>
      <c r="L34">
        <v>44982</v>
      </c>
    </row>
    <row r="35" spans="5:12">
      <c r="E35" t="s">
        <v>30</v>
      </c>
      <c r="F35">
        <v>5</v>
      </c>
      <c r="G35">
        <v>3995</v>
      </c>
      <c r="K35" t="s">
        <v>20</v>
      </c>
      <c r="L35">
        <v>44982</v>
      </c>
    </row>
    <row r="36" spans="5:12">
      <c r="E36" t="s">
        <v>31</v>
      </c>
      <c r="F36">
        <v>8</v>
      </c>
      <c r="G36">
        <v>480</v>
      </c>
      <c r="J36" t="s">
        <v>25</v>
      </c>
      <c r="L36">
        <v>480</v>
      </c>
    </row>
    <row r="37" spans="5:12">
      <c r="E37" t="s">
        <v>24</v>
      </c>
      <c r="F37">
        <v>207</v>
      </c>
      <c r="G37">
        <v>307081</v>
      </c>
      <c r="K37" t="s">
        <v>8</v>
      </c>
      <c r="L37">
        <v>480</v>
      </c>
    </row>
    <row r="38" spans="10:12">
      <c r="J38" t="s">
        <v>24</v>
      </c>
      <c r="L38">
        <v>307081</v>
      </c>
    </row>
  </sheetData>
  <pageMargins left="0.75" right="0.75" top="1" bottom="1" header="0.5" footer="0.5"/>
  <headerFooter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2"/>
    </sheetView>
  </sheetViews>
  <sheetFormatPr defaultColWidth="8.88888888888889" defaultRowHeight="14.4" outlineLevelRow="1"/>
  <cols>
    <col min="1" max="1" width="11.1111111111111"/>
  </cols>
  <sheetData>
    <row r="1" spans="1:11">
      <c r="A1" t="s">
        <v>32</v>
      </c>
      <c r="B1" t="s">
        <v>33</v>
      </c>
      <c r="C1" t="s">
        <v>34</v>
      </c>
      <c r="D1" t="s">
        <v>0</v>
      </c>
      <c r="E1" t="s">
        <v>3</v>
      </c>
      <c r="F1" t="s">
        <v>35</v>
      </c>
      <c r="G1" t="s">
        <v>6</v>
      </c>
      <c r="H1" t="s">
        <v>36</v>
      </c>
      <c r="I1" t="s">
        <v>4</v>
      </c>
      <c r="J1" t="s">
        <v>2</v>
      </c>
      <c r="K1" t="s">
        <v>37</v>
      </c>
    </row>
    <row r="2" spans="1:11">
      <c r="A2" s="8">
        <v>45661</v>
      </c>
      <c r="B2" t="s">
        <v>38</v>
      </c>
      <c r="C2" t="s">
        <v>39</v>
      </c>
      <c r="D2" t="s">
        <v>31</v>
      </c>
      <c r="E2" t="s">
        <v>25</v>
      </c>
      <c r="F2">
        <v>8</v>
      </c>
      <c r="G2">
        <v>60</v>
      </c>
      <c r="H2">
        <v>480</v>
      </c>
      <c r="I2" t="s">
        <v>22</v>
      </c>
      <c r="J2" t="s">
        <v>8</v>
      </c>
      <c r="K2">
        <v>420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2"/>
    </sheetView>
  </sheetViews>
  <sheetFormatPr defaultColWidth="8.88888888888889" defaultRowHeight="14.4" outlineLevelRow="1"/>
  <cols>
    <col min="1" max="1" width="11.1111111111111"/>
  </cols>
  <sheetData>
    <row r="1" spans="1:11">
      <c r="A1" t="s">
        <v>32</v>
      </c>
      <c r="B1" t="s">
        <v>33</v>
      </c>
      <c r="C1" t="s">
        <v>34</v>
      </c>
      <c r="D1" t="s">
        <v>0</v>
      </c>
      <c r="E1" t="s">
        <v>3</v>
      </c>
      <c r="F1" t="s">
        <v>35</v>
      </c>
      <c r="G1" t="s">
        <v>6</v>
      </c>
      <c r="H1" t="s">
        <v>36</v>
      </c>
      <c r="I1" t="s">
        <v>4</v>
      </c>
      <c r="J1" t="s">
        <v>2</v>
      </c>
      <c r="K1" t="s">
        <v>37</v>
      </c>
    </row>
    <row r="2" spans="1:11">
      <c r="A2" s="8">
        <v>45658</v>
      </c>
      <c r="B2" t="s">
        <v>40</v>
      </c>
      <c r="C2" t="s">
        <v>41</v>
      </c>
      <c r="D2" t="s">
        <v>29</v>
      </c>
      <c r="E2" t="s">
        <v>9</v>
      </c>
      <c r="F2">
        <v>29</v>
      </c>
      <c r="G2">
        <v>599</v>
      </c>
      <c r="H2">
        <v>17371</v>
      </c>
      <c r="I2" t="s">
        <v>18</v>
      </c>
      <c r="J2" t="s">
        <v>12</v>
      </c>
      <c r="K2">
        <v>16772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workbookViewId="0">
      <selection activeCell="E10" sqref="E10"/>
    </sheetView>
  </sheetViews>
  <sheetFormatPr defaultColWidth="8.88888888888889" defaultRowHeight="14.4"/>
  <cols>
    <col min="1" max="1" width="11.6666666666667" style="1"/>
    <col min="2" max="3" width="14.8888888888889" style="1"/>
    <col min="4" max="4" width="15.1111111111111" style="1" customWidth="1"/>
    <col min="5" max="5" width="12.4444444444444" style="1" customWidth="1"/>
    <col min="6" max="7" width="12.1111111111111" style="1" customWidth="1"/>
    <col min="8" max="8" width="11.5555555555556" style="1" customWidth="1"/>
    <col min="9" max="9" width="10.8888888888889" style="1" customWidth="1"/>
    <col min="10" max="10" width="10.4444444444444" style="1" customWidth="1"/>
    <col min="11" max="11" width="13.1111111111111" style="1" customWidth="1"/>
    <col min="12" max="12" width="16.2222222222222" customWidth="1"/>
  </cols>
  <sheetData>
    <row r="1" spans="1:12">
      <c r="A1" s="2" t="s">
        <v>32</v>
      </c>
      <c r="B1" s="2" t="s">
        <v>33</v>
      </c>
      <c r="C1" s="2" t="s">
        <v>34</v>
      </c>
      <c r="D1" s="2" t="s">
        <v>0</v>
      </c>
      <c r="E1" s="2" t="s">
        <v>3</v>
      </c>
      <c r="F1" s="2" t="s">
        <v>35</v>
      </c>
      <c r="G1" s="2" t="s">
        <v>6</v>
      </c>
      <c r="H1" s="2" t="s">
        <v>36</v>
      </c>
      <c r="I1" s="2" t="s">
        <v>4</v>
      </c>
      <c r="J1" s="2" t="s">
        <v>2</v>
      </c>
      <c r="K1" s="1" t="s">
        <v>37</v>
      </c>
      <c r="L1" t="s">
        <v>42</v>
      </c>
    </row>
    <row r="2" spans="1:12">
      <c r="A2" s="3">
        <v>45658</v>
      </c>
      <c r="B2" s="2" t="s">
        <v>40</v>
      </c>
      <c r="C2" s="2" t="s">
        <v>41</v>
      </c>
      <c r="D2" s="2" t="s">
        <v>29</v>
      </c>
      <c r="E2" s="2" t="s">
        <v>9</v>
      </c>
      <c r="F2" s="2">
        <v>29</v>
      </c>
      <c r="G2" s="2">
        <v>599</v>
      </c>
      <c r="H2" s="4">
        <f t="shared" ref="H2:H11" si="0">PRODUCT(F2:G2)</f>
        <v>17371</v>
      </c>
      <c r="I2" s="2" t="s">
        <v>18</v>
      </c>
      <c r="J2" s="2" t="s">
        <v>12</v>
      </c>
      <c r="K2" s="7">
        <f t="shared" ref="K2:K11" si="1">H2-G2</f>
        <v>16772</v>
      </c>
      <c r="L2" s="5">
        <f>G2/F2</f>
        <v>20.6551724137931</v>
      </c>
    </row>
    <row r="3" spans="1:12">
      <c r="A3" s="3">
        <v>45658</v>
      </c>
      <c r="B3" s="2" t="s">
        <v>43</v>
      </c>
      <c r="C3" s="2" t="s">
        <v>44</v>
      </c>
      <c r="D3" s="2" t="s">
        <v>27</v>
      </c>
      <c r="E3" s="2" t="s">
        <v>17</v>
      </c>
      <c r="F3" s="2">
        <v>25</v>
      </c>
      <c r="G3" s="2">
        <v>799</v>
      </c>
      <c r="H3" s="4">
        <f t="shared" si="0"/>
        <v>19975</v>
      </c>
      <c r="I3" s="2" t="s">
        <v>14</v>
      </c>
      <c r="J3" s="2" t="s">
        <v>20</v>
      </c>
      <c r="K3" s="7">
        <f t="shared" si="1"/>
        <v>19176</v>
      </c>
      <c r="L3" s="5">
        <f t="shared" ref="L3:L11" si="2">G3/F3</f>
        <v>31.96</v>
      </c>
    </row>
    <row r="4" spans="1:12">
      <c r="A4" s="3">
        <v>45659</v>
      </c>
      <c r="B4" s="2" t="s">
        <v>45</v>
      </c>
      <c r="C4" s="2" t="s">
        <v>46</v>
      </c>
      <c r="D4" s="2" t="s">
        <v>11</v>
      </c>
      <c r="E4" s="2" t="s">
        <v>13</v>
      </c>
      <c r="F4" s="2">
        <v>40</v>
      </c>
      <c r="G4" s="2">
        <v>1299</v>
      </c>
      <c r="H4" s="4">
        <f t="shared" si="0"/>
        <v>51960</v>
      </c>
      <c r="I4" s="2" t="s">
        <v>10</v>
      </c>
      <c r="J4" s="2" t="s">
        <v>16</v>
      </c>
      <c r="K4" s="7">
        <f t="shared" si="1"/>
        <v>50661</v>
      </c>
      <c r="L4" s="5">
        <f t="shared" si="2"/>
        <v>32.475</v>
      </c>
    </row>
    <row r="5" spans="1:12">
      <c r="A5" s="3">
        <v>45659</v>
      </c>
      <c r="B5" s="2" t="s">
        <v>47</v>
      </c>
      <c r="C5" s="2" t="s">
        <v>48</v>
      </c>
      <c r="D5" s="2" t="s">
        <v>28</v>
      </c>
      <c r="E5" s="2" t="s">
        <v>9</v>
      </c>
      <c r="F5" s="2">
        <v>18</v>
      </c>
      <c r="G5" s="2">
        <v>999</v>
      </c>
      <c r="H5" s="4">
        <f t="shared" si="0"/>
        <v>17982</v>
      </c>
      <c r="I5" s="2" t="s">
        <v>18</v>
      </c>
      <c r="J5" s="2" t="s">
        <v>12</v>
      </c>
      <c r="K5" s="7">
        <f t="shared" si="1"/>
        <v>16983</v>
      </c>
      <c r="L5" s="5">
        <f t="shared" si="2"/>
        <v>55.5</v>
      </c>
    </row>
    <row r="6" spans="1:12">
      <c r="A6" s="3">
        <v>45660</v>
      </c>
      <c r="B6" s="2" t="s">
        <v>49</v>
      </c>
      <c r="C6" s="2" t="s">
        <v>50</v>
      </c>
      <c r="D6" s="2" t="s">
        <v>19</v>
      </c>
      <c r="E6" s="2" t="s">
        <v>17</v>
      </c>
      <c r="F6" s="2">
        <v>30</v>
      </c>
      <c r="G6" s="2">
        <v>1499</v>
      </c>
      <c r="H6" s="4">
        <f t="shared" si="0"/>
        <v>44970</v>
      </c>
      <c r="I6" s="2" t="s">
        <v>14</v>
      </c>
      <c r="J6" s="2" t="s">
        <v>20</v>
      </c>
      <c r="K6" s="7">
        <f t="shared" si="1"/>
        <v>43471</v>
      </c>
      <c r="L6" s="5">
        <f t="shared" si="2"/>
        <v>49.9666666666667</v>
      </c>
    </row>
    <row r="7" spans="1:12">
      <c r="A7" s="3">
        <v>45660</v>
      </c>
      <c r="B7" s="2" t="s">
        <v>51</v>
      </c>
      <c r="C7" s="2" t="s">
        <v>52</v>
      </c>
      <c r="D7" s="2" t="s">
        <v>7</v>
      </c>
      <c r="E7" s="2" t="s">
        <v>9</v>
      </c>
      <c r="F7" s="2">
        <v>15</v>
      </c>
      <c r="G7" s="2">
        <v>4999</v>
      </c>
      <c r="H7" s="4">
        <f t="shared" si="0"/>
        <v>74985</v>
      </c>
      <c r="I7" s="2" t="s">
        <v>10</v>
      </c>
      <c r="J7" s="2" t="s">
        <v>16</v>
      </c>
      <c r="K7" s="7">
        <f t="shared" si="1"/>
        <v>69986</v>
      </c>
      <c r="L7" s="5">
        <f t="shared" si="2"/>
        <v>333.266666666667</v>
      </c>
    </row>
    <row r="8" spans="1:12">
      <c r="A8" s="3">
        <v>45661</v>
      </c>
      <c r="B8" s="2" t="s">
        <v>38</v>
      </c>
      <c r="C8" s="2" t="s">
        <v>39</v>
      </c>
      <c r="D8" s="2" t="s">
        <v>31</v>
      </c>
      <c r="E8" s="2" t="s">
        <v>25</v>
      </c>
      <c r="F8" s="2">
        <v>8</v>
      </c>
      <c r="G8" s="2">
        <v>60</v>
      </c>
      <c r="H8" s="4">
        <f t="shared" si="0"/>
        <v>480</v>
      </c>
      <c r="I8" s="2" t="s">
        <v>22</v>
      </c>
      <c r="J8" s="2" t="s">
        <v>8</v>
      </c>
      <c r="K8" s="7">
        <f t="shared" si="1"/>
        <v>420</v>
      </c>
      <c r="L8" s="5">
        <f t="shared" si="2"/>
        <v>7.5</v>
      </c>
    </row>
    <row r="9" spans="1:12">
      <c r="A9" s="3">
        <v>45661</v>
      </c>
      <c r="B9" s="2" t="s">
        <v>53</v>
      </c>
      <c r="C9" s="2" t="s">
        <v>54</v>
      </c>
      <c r="D9" s="2" t="s">
        <v>30</v>
      </c>
      <c r="E9" s="2" t="s">
        <v>9</v>
      </c>
      <c r="F9" s="2">
        <v>5</v>
      </c>
      <c r="G9" s="2">
        <v>799</v>
      </c>
      <c r="H9" s="4">
        <f t="shared" si="0"/>
        <v>3995</v>
      </c>
      <c r="I9" s="2" t="s">
        <v>18</v>
      </c>
      <c r="J9" s="2" t="s">
        <v>12</v>
      </c>
      <c r="K9" s="7">
        <f t="shared" si="1"/>
        <v>3196</v>
      </c>
      <c r="L9" s="5">
        <f t="shared" si="2"/>
        <v>159.8</v>
      </c>
    </row>
    <row r="10" spans="1:12">
      <c r="A10" s="3">
        <v>45662</v>
      </c>
      <c r="B10" s="2" t="s">
        <v>55</v>
      </c>
      <c r="C10" s="2" t="s">
        <v>56</v>
      </c>
      <c r="D10" s="2" t="s">
        <v>15</v>
      </c>
      <c r="E10" s="2" t="s">
        <v>21</v>
      </c>
      <c r="F10" s="2">
        <v>18</v>
      </c>
      <c r="G10" s="2">
        <v>2499</v>
      </c>
      <c r="H10" s="4">
        <f t="shared" si="0"/>
        <v>44982</v>
      </c>
      <c r="I10" s="2" t="s">
        <v>14</v>
      </c>
      <c r="J10" s="2" t="s">
        <v>20</v>
      </c>
      <c r="K10" s="7">
        <f t="shared" si="1"/>
        <v>42483</v>
      </c>
      <c r="L10" s="5">
        <f t="shared" si="2"/>
        <v>138.833333333333</v>
      </c>
    </row>
    <row r="11" spans="1:12">
      <c r="A11" s="3">
        <v>45662</v>
      </c>
      <c r="B11" s="2" t="s">
        <v>57</v>
      </c>
      <c r="C11" s="2" t="s">
        <v>58</v>
      </c>
      <c r="D11" s="2" t="s">
        <v>23</v>
      </c>
      <c r="E11" s="2" t="s">
        <v>13</v>
      </c>
      <c r="F11" s="2">
        <v>19</v>
      </c>
      <c r="G11" s="2">
        <v>1599</v>
      </c>
      <c r="H11" s="4">
        <f t="shared" si="0"/>
        <v>30381</v>
      </c>
      <c r="I11" s="2" t="s">
        <v>10</v>
      </c>
      <c r="J11" s="2" t="s">
        <v>16</v>
      </c>
      <c r="K11" s="7">
        <f t="shared" si="1"/>
        <v>28782</v>
      </c>
      <c r="L11" s="5">
        <f t="shared" si="2"/>
        <v>84.1578947368421</v>
      </c>
    </row>
    <row r="15" spans="1:3">
      <c r="A15" t="s">
        <v>37</v>
      </c>
      <c r="B15" t="s">
        <v>1</v>
      </c>
      <c r="C15" s="5" t="s">
        <v>59</v>
      </c>
    </row>
    <row r="16" spans="1:11">
      <c r="A16">
        <v>420</v>
      </c>
      <c r="B16">
        <v>480</v>
      </c>
      <c r="C16" s="5">
        <v>87.5</v>
      </c>
      <c r="D16" s="6"/>
      <c r="K16"/>
    </row>
    <row r="17" spans="1:11">
      <c r="A17">
        <v>3196</v>
      </c>
      <c r="B17">
        <v>3995</v>
      </c>
      <c r="C17" s="5">
        <v>80</v>
      </c>
      <c r="D17" s="6"/>
      <c r="K17"/>
    </row>
    <row r="18" spans="1:11">
      <c r="A18">
        <v>16772</v>
      </c>
      <c r="B18">
        <v>17371</v>
      </c>
      <c r="C18" s="5">
        <v>96.551724137931</v>
      </c>
      <c r="D18" s="6"/>
      <c r="K18"/>
    </row>
    <row r="19" spans="1:11">
      <c r="A19">
        <v>16983</v>
      </c>
      <c r="B19">
        <v>17982</v>
      </c>
      <c r="C19" s="5">
        <v>94.4444444444444</v>
      </c>
      <c r="D19" s="6"/>
      <c r="K19"/>
    </row>
    <row r="20" spans="1:11">
      <c r="A20">
        <v>19176</v>
      </c>
      <c r="B20">
        <v>19975</v>
      </c>
      <c r="C20" s="5">
        <v>96</v>
      </c>
      <c r="D20" s="6"/>
      <c r="K20"/>
    </row>
    <row r="21" spans="1:11">
      <c r="A21">
        <v>28782</v>
      </c>
      <c r="B21">
        <v>30381</v>
      </c>
      <c r="C21" s="5">
        <v>94.7368421052632</v>
      </c>
      <c r="D21" s="6"/>
      <c r="K21"/>
    </row>
    <row r="22" spans="1:11">
      <c r="A22">
        <v>42483</v>
      </c>
      <c r="B22">
        <v>44982</v>
      </c>
      <c r="C22" s="5">
        <v>94.4444444444444</v>
      </c>
      <c r="D22" s="6"/>
      <c r="K22"/>
    </row>
    <row r="23" spans="1:11">
      <c r="A23">
        <v>43471</v>
      </c>
      <c r="B23">
        <v>44970</v>
      </c>
      <c r="C23" s="5">
        <v>96.6666666666667</v>
      </c>
      <c r="D23" s="6"/>
      <c r="K23"/>
    </row>
    <row r="24" spans="1:11">
      <c r="A24">
        <v>50661</v>
      </c>
      <c r="B24">
        <v>51960</v>
      </c>
      <c r="C24" s="5">
        <v>97.5</v>
      </c>
      <c r="D24" s="6"/>
      <c r="K24"/>
    </row>
    <row r="25" spans="1:11">
      <c r="A25">
        <v>69986</v>
      </c>
      <c r="B25">
        <v>74985</v>
      </c>
      <c r="C25" s="5">
        <v>93.3333333333333</v>
      </c>
      <c r="D25" s="6"/>
      <c r="K25"/>
    </row>
    <row r="26" spans="1:3">
      <c r="A26" t="s">
        <v>24</v>
      </c>
      <c r="B26">
        <v>307081</v>
      </c>
      <c r="C26" s="5">
        <v>95.0661226191135</v>
      </c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</sheetData>
  <pageMargins left="0.75" right="0.75" top="1" bottom="1" header="0.5" footer="0.5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 table2</vt:lpstr>
      <vt:lpstr>Sheet4</vt:lpstr>
      <vt:lpstr>Sheet5</vt:lpstr>
      <vt:lpstr>step3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shivangi Maurya</cp:lastModifiedBy>
  <dcterms:created xsi:type="dcterms:W3CDTF">2025-12-11T14:51:00Z</dcterms:created>
  <dcterms:modified xsi:type="dcterms:W3CDTF">2025-12-25T19:46:48Z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476E6D7ECA414EB09053E705FAB5E13A_13</vt:lpwstr>
  </property>
  <property fmtid="{D5CDD505-2E9C-101B-9397-08002B2CF9AE}" pid="3" name="KSOProductBuildVer">
    <vt:lpwstr>1033-12.2.0.23196</vt:lpwstr>
  </property>
</Properties>
</file>