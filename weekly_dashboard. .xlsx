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10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515" activeTab="1"/>
  </bookViews>
  <sheets>
    <sheet name="pivot table2" sheetId="3" r:id="rId1"/>
    <sheet name="weekly_dashboards" sheetId="18" r:id="rId2"/>
  </sheets>
  <definedNames>
    <definedName name="Slicer_date6">#N/A</definedName>
    <definedName name="Slicer_Product">#N/A</definedName>
    <definedName name="Slicer_Category7">#N/A</definedName>
    <definedName name="Slicer_Salesperson8">#N/A</definedName>
    <definedName name="Slicer_Region9">#N/A</definedName>
    <definedName name="Slicer_date">#N/A</definedName>
    <definedName name="Slicer_Product10">#N/A</definedName>
    <definedName name="Slicer_Category">#N/A</definedName>
    <definedName name="Slicer_Salesperson">#N/A</definedName>
    <definedName name="Slicer_Region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13"/>
        <x14:slicerCache r:id="rId12"/>
        <x14:slicerCache r:id="rId11"/>
        <x14:slicerCache r:id="rId10"/>
        <x14:slicerCache r:id="rId9"/>
        <x14:slicerCache r:id="rId8"/>
        <x14:slicerCache r:id="rId7"/>
        <x14:slicerCache r:id="rId6"/>
        <x14:slicerCache r:id="rId5"/>
        <x14:slicerCache r:id="rId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<sst xmlns="http://schemas.openxmlformats.org/spreadsheetml/2006/main" count="113" uniqueCount="42">
  <si>
    <t>Product</t>
  </si>
  <si>
    <t>Sum of revenue</t>
  </si>
  <si>
    <t>Region</t>
  </si>
  <si>
    <t>Category</t>
  </si>
  <si>
    <t>Salesperson</t>
  </si>
  <si>
    <t>Date</t>
  </si>
  <si>
    <t>Customer_Name</t>
  </si>
  <si>
    <t>Smartwatch</t>
  </si>
  <si>
    <t>East</t>
  </si>
  <si>
    <t>Electronics</t>
  </si>
  <si>
    <t>Rahul</t>
  </si>
  <si>
    <t>Rohan Sharma</t>
  </si>
  <si>
    <t>Laptop Bag</t>
  </si>
  <si>
    <t>North</t>
  </si>
  <si>
    <t>Accessories</t>
  </si>
  <si>
    <t>Neha</t>
  </si>
  <si>
    <t>Priya Verma</t>
  </si>
  <si>
    <t>Sports Shoes</t>
  </si>
  <si>
    <t>South</t>
  </si>
  <si>
    <t>Apparel</t>
  </si>
  <si>
    <t>Amit</t>
  </si>
  <si>
    <t>Sachin Patel</t>
  </si>
  <si>
    <t>Jeans</t>
  </si>
  <si>
    <t>West</t>
  </si>
  <si>
    <t>Footwear</t>
  </si>
  <si>
    <t>Kajal</t>
  </si>
  <si>
    <t>Anita Gupta</t>
  </si>
  <si>
    <t>Backpack</t>
  </si>
  <si>
    <t>Grand Total</t>
  </si>
  <si>
    <t>Stationery</t>
  </si>
  <si>
    <t>Aman Kumar</t>
  </si>
  <si>
    <t>Shruti Desai</t>
  </si>
  <si>
    <t>Dev Mehta</t>
  </si>
  <si>
    <t>Nikita Jain</t>
  </si>
  <si>
    <t>Arjun Singh</t>
  </si>
  <si>
    <t>Meera Nair</t>
  </si>
  <si>
    <t>Sum of Quantity</t>
  </si>
  <si>
    <t>T-Shirt</t>
  </si>
  <si>
    <t>Keyboard</t>
  </si>
  <si>
    <t>Wireless Mouse</t>
  </si>
  <si>
    <t>Pendrive 32GB</t>
  </si>
  <si>
    <t>Notebook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</si>
</sst>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NumberFormat="1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0" fillId="3" borderId="0" xfId="0" applyFill="1">
      <alignment vertical="center"/>
    </xf>
    <xf numFmtId="0" fontId="0" fillId="3" borderId="0" xfId="0" applyFill="1" applyBorder="1">
      <alignment vertical="center"/>
    </xf>
    <xf numFmtId="180" fontId="0" fillId="3" borderId="0" xfId="0" applyNumberForma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3">
    <dxf>
      <fill>
        <patternFill patternType="solid">
          <bgColor theme="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4" tint="0.4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right/>
      </border>
    </dxf>
    <dxf>
      <border>
        <left/>
        <right/>
        <top/>
        <bottom/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/>
        <right/>
        <top/>
        <bottom/>
      </border>
    </dxf>
    <dxf/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4" tint="0.4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/>
        <right/>
        <top/>
        <bottom/>
      </border>
    </dxf>
    <dxf/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2" tint="-0.1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3" tint="0.8"/>
        </patternFill>
      </fill>
    </dxf>
    <dxf>
      <fill>
        <patternFill patternType="solid">
          <bgColor theme="4" tint="-0.25"/>
        </patternFill>
      </fill>
    </dxf>
    <dxf>
      <fill>
        <patternFill patternType="solid">
          <bgColor theme="8" tint="0.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 tint="-0.25"/>
        </patternFill>
      </fill>
    </dxf>
    <dxf>
      <fill>
        <patternFill patternType="solid">
          <bgColor theme="8" tint="-0.25"/>
        </patternFill>
      </fill>
    </dxf>
    <dxf>
      <fill>
        <patternFill patternType="solid">
          <bgColor theme="8" tint="-0.25"/>
        </patternFill>
      </fill>
    </dxf>
    <dxf>
      <fill>
        <patternFill patternType="solid">
          <bgColor theme="8" tint="0.4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2" tint="-0.1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3" tint="0.8"/>
        </patternFill>
      </fill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theme="4" tint="-0.25"/>
        </patternFill>
      </fill>
    </dxf>
    <dxf>
      <fill>
        <patternFill patternType="solid">
          <bgColor theme="8" tint="0.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 tint="-0.25"/>
        </patternFill>
      </fill>
    </dxf>
    <dxf>
      <fill>
        <patternFill patternType="solid">
          <bgColor theme="8" tint="-0.25"/>
        </patternFill>
      </fill>
    </dxf>
    <dxf>
      <fill>
        <patternFill patternType="solid">
          <bgColor theme="8" tint="-0.25"/>
        </patternFill>
      </fill>
    </dxf>
    <dxf>
      <fill>
        <patternFill patternType="solid">
          <bgColor theme="8" tint="0.4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border>
        <top style="thin">
          <color theme="4"/>
        </top>
        <bottom style="thin">
          <color theme="4"/>
        </bottom>
      </border>
    </dxf>
    <dxf>
      <border>
        <top style="thin">
          <color theme="4"/>
        </top>
        <bottom style="thin">
          <color theme="4"/>
        </bottom>
      </border>
    </dxf>
    <dxf>
      <font>
        <b val="1"/>
      </font>
    </dxf>
    <dxf>
      <font>
        <b val="1"/>
      </font>
    </dxf>
    <dxf>
      <fill>
        <patternFill patternType="solid">
          <fgColor theme="4" tint="0.799981688894314"/>
          <bgColor theme="4" tint="0.799981688894314"/>
        </patternFill>
      </fill>
      <border>
        <left style="thin">
          <color theme="4" tint="0.599993896298105"/>
        </left>
        <right style="thin">
          <color theme="4" tint="0.599993896298105"/>
        </right>
        <top style="thin">
          <color theme="4" tint="0.599993896298105"/>
        </top>
        <bottom style="thin">
          <color theme="4" tint="0.599993896298105"/>
        </bottom>
        <vertical style="thin">
          <color theme="4" tint="0.599993896298105"/>
        </vertical>
        <horizontal style="thin">
          <color theme="4" tint="0.599993896298105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599993896298105"/>
        </top>
        <bottom style="thin">
          <color theme="4" tint="0.599993896298105"/>
        </bottom>
      </border>
    </dxf>
    <dxf>
      <font>
        <b val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horizontal style="thin">
          <color theme="4" tint="0.799981688894314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82"/>
      <tableStyleElement type="headerRow" dxfId="81"/>
      <tableStyleElement type="totalRow" dxfId="80"/>
      <tableStyleElement type="firstColumn" dxfId="79"/>
      <tableStyleElement type="lastColumn" dxfId="78"/>
      <tableStyleElement type="firstRowStripe" dxfId="77"/>
      <tableStyleElement type="firstColumnStripe" dxfId="76"/>
    </tableStyle>
    <tableStyle name="PivotStylePreset1_Accent1" table="0" count="10" xr9:uid="{7C37D198-7A62-4C78-BE04-1A85FE5F1B22}">
      <tableStyleElement type="wholeTable" dxfId="92"/>
      <tableStyleElement type="headerRow" dxfId="91"/>
      <tableStyleElement type="totalRow" dxfId="90"/>
      <tableStyleElement type="lastColumn" dxfId="89"/>
      <tableStyleElement type="firstRowStripe" dxfId="88"/>
      <tableStyleElement type="firstColumnStripe" dxfId="87"/>
      <tableStyleElement type="firstSubtotalColumn" dxfId="86"/>
      <tableStyleElement type="firstSubtotalRow" dxfId="85"/>
      <tableStyleElement type="pageFieldLabels" dxfId="84"/>
      <tableStyleElement type="pageFieldValues" dxfId="83"/>
    </tableStyle>
    <tableStyle name="PivotStylePreset2_Accent1" table="0" count="10" xr9:uid="{267968C8-6FFD-4C36-ACC1-9EA1FD1885CA}">
      <tableStyleElement type="headerRow" dxfId="102"/>
      <tableStyleElement type="totalRow" dxfId="101"/>
      <tableStyleElement type="firstRowStripe" dxfId="100"/>
      <tableStyleElement type="firstColumnStripe" dxfId="99"/>
      <tableStyleElement type="firstSubtotalRow" dxfId="98"/>
      <tableStyleElement type="secondSubtotalRow" dxfId="97"/>
      <tableStyleElement type="firstRowSubheading" dxfId="96"/>
      <tableStyleElement type="secondRowSubheading" dxfId="95"/>
      <tableStyleElement type="pageFieldLabels" dxfId="94"/>
      <tableStyleElement type="pageFieldValues" dxfId="9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6.xml"/><Relationship Id="rId8" Type="http://schemas.microsoft.com/office/2007/relationships/slicerCache" Target="slicerCaches/slicerCache5.xml"/><Relationship Id="rId7" Type="http://schemas.microsoft.com/office/2007/relationships/slicerCache" Target="slicerCaches/slicerCache4.xml"/><Relationship Id="rId6" Type="http://schemas.microsoft.com/office/2007/relationships/slicerCache" Target="slicerCaches/slicerCache3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microsoft.com/office/2007/relationships/slicerCache" Target="slicerCaches/slicerCache10.xml"/><Relationship Id="rId12" Type="http://schemas.microsoft.com/office/2007/relationships/slicerCache" Target="slicerCaches/slicerCache9.xml"/><Relationship Id="rId11" Type="http://schemas.microsoft.com/office/2007/relationships/slicerCache" Target="slicerCaches/slicerCache8.xml"/><Relationship Id="rId10" Type="http://schemas.microsoft.com/office/2007/relationships/slicerCache" Target="slicerCaches/slicerCache7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[weekly_dashboard. .xlsx]pivot table2!PivotTable4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rPr>
              <a:t>REVENUE BY REGION</a:t>
            </a:r>
            <a:endParaR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endParaRPr>
          </a:p>
          <a:p>
            <a:pPr defTabSz="914400">
              <a:defRPr lang="en-US" sz="1400" b="1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316279832734335"/>
          <c:y val="0.109286354135563"/>
        </c:manualLayout>
      </c:layout>
      <c:overlay val="0"/>
      <c:spPr>
        <a:noFill/>
        <a:ln w="12700" cap="flat" cmpd="sng" algn="ctr">
          <a:solidFill>
            <a:schemeClr val="accent6"/>
          </a:solidFill>
          <a:prstDash val="solid"/>
          <a:miter lim="800000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title>
    <c:autoTitleDeleted val="0"/>
    <c:plotArea>
      <c:layout>
        <c:manualLayout>
          <c:layoutTarget val="inner"/>
          <c:xMode val="edge"/>
          <c:yMode val="edge"/>
          <c:x val="0.299766218585622"/>
          <c:y val="0.375274725274725"/>
          <c:w val="0.559380479251899"/>
          <c:h val="0.5134615384615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table2'!$E$14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6"/>
                </a:gs>
                <a:gs pos="0">
                  <a:schemeClr val="accent6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6">
                      <a:lumMod val="75000"/>
                    </a:schemeClr>
                  </a:gs>
                  <a:gs pos="0">
                    <a:schemeClr val="accent6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ln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ln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table2'!$D$15:$D$19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table2'!$E$15:$E$19</c:f>
              <c:numCache>
                <c:formatCode>General</c:formatCode>
                <c:ptCount val="4"/>
                <c:pt idx="0">
                  <c:v>480</c:v>
                </c:pt>
                <c:pt idx="1">
                  <c:v>39348</c:v>
                </c:pt>
                <c:pt idx="2">
                  <c:v>157326</c:v>
                </c:pt>
                <c:pt idx="3">
                  <c:v>109927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40"/>
        <c:overlap val="-40"/>
        <c:axId val="458710892"/>
        <c:axId val="238522649"/>
      </c:barChart>
      <c:catAx>
        <c:axId val="45871089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8522649"/>
        <c:crosses val="autoZero"/>
        <c:auto val="1"/>
        <c:lblAlgn val="ctr"/>
        <c:lblOffset val="100"/>
        <c:noMultiLvlLbl val="0"/>
      </c:catAx>
      <c:valAx>
        <c:axId val="23852264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87108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6fe291e-5daf-4f84-b8d2-f0a4442f6680}"/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ln>
            <a:solidFill>
              <a:schemeClr val="tx1">
                <a:lumMod val="95000"/>
                <a:lumOff val="5000"/>
              </a:schemeClr>
            </a:solidFill>
          </a:ln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[weekly_dashboard. .xlsx]pivot table2!PivotTable9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rPr>
              <a:t>WEEKLY PERFORMANCE</a:t>
            </a:r>
            <a:endParaR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endParaRPr>
          </a:p>
          <a:p>
            <a:pPr defTabSz="914400">
              <a:defRPr lang="en-US" sz="1400" b="1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298233231232375"/>
          <c:y val="0.0276178949469977"/>
        </c:manualLayout>
      </c:layout>
      <c:overlay val="0"/>
      <c:spPr>
        <a:noFill/>
        <a:ln w="19050" cap="flat" cmpd="sng" algn="ctr">
          <a:solidFill>
            <a:schemeClr val="accent6"/>
          </a:solidFill>
          <a:prstDash val="solid"/>
          <a:miter lim="800000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title>
    <c:autoTitleDeleted val="0"/>
    <c:plotArea>
      <c:layout>
        <c:manualLayout>
          <c:layoutTarget val="inner"/>
          <c:xMode val="edge"/>
          <c:yMode val="edge"/>
          <c:x val="0.0252062328139322"/>
          <c:y val="0.364705882352941"/>
          <c:w val="0.827337305224565"/>
          <c:h val="0.379071207430341"/>
        </c:manualLayout>
      </c:layout>
      <c:lineChart>
        <c:grouping val="stacked"/>
        <c:varyColors val="0"/>
        <c:ser>
          <c:idx val="0"/>
          <c:order val="0"/>
          <c:tx>
            <c:strRef>
              <c:f>'pivot table2'!$N$14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circle"/>
            <c:size val="5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>
                <a:outerShdw blurRad="50800" dist="25400" dir="5400000" algn="t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ln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ln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table2'!$M$15:$M$20</c:f>
              <c:strCache>
                <c:ptCount val="5"/>
                <c:pt idx="0">
                  <c:v>01-01-2025</c:v>
                </c:pt>
                <c:pt idx="1">
                  <c:v>02-01-2025</c:v>
                </c:pt>
                <c:pt idx="2">
                  <c:v>03-01-2025</c:v>
                </c:pt>
                <c:pt idx="3">
                  <c:v>04-01-2025</c:v>
                </c:pt>
                <c:pt idx="4">
                  <c:v>05-01-2025</c:v>
                </c:pt>
              </c:strCache>
            </c:strRef>
          </c:cat>
          <c:val>
            <c:numRef>
              <c:f>'pivot table2'!$N$15:$N$20</c:f>
              <c:numCache>
                <c:formatCode>General</c:formatCode>
                <c:ptCount val="5"/>
                <c:pt idx="0">
                  <c:v>37346</c:v>
                </c:pt>
                <c:pt idx="1">
                  <c:v>69942</c:v>
                </c:pt>
                <c:pt idx="2">
                  <c:v>119955</c:v>
                </c:pt>
                <c:pt idx="3">
                  <c:v>4475</c:v>
                </c:pt>
                <c:pt idx="4">
                  <c:v>75363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86622816"/>
        <c:axId val="887543737"/>
      </c:lineChart>
      <c:catAx>
        <c:axId val="386622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7543737"/>
        <c:crosses val="autoZero"/>
        <c:auto val="1"/>
        <c:lblAlgn val="ctr"/>
        <c:lblOffset val="100"/>
        <c:noMultiLvlLbl val="0"/>
      </c:catAx>
      <c:valAx>
        <c:axId val="88754373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662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584569a-6a07-491a-a1cb-731d6c6f02f7}"/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ln>
            <a:solidFill>
              <a:schemeClr val="tx1">
                <a:lumMod val="95000"/>
                <a:lumOff val="5000"/>
              </a:schemeClr>
            </a:solidFill>
          </a:ln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[weekly_dashboard. .xlsx]pivot table2!PivotTable6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rPr>
              <a:t>REVENUE BY SALESOERSON</a:t>
            </a:r>
            <a:endParaR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endParaRPr>
          </a:p>
          <a:p>
            <a:pPr defTabSz="914400">
              <a:defRPr lang="en-US" sz="1400" b="1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501650712277493"/>
          <c:y val="0.0694147456163723"/>
        </c:manualLayout>
      </c:layout>
      <c:overlay val="0"/>
      <c:spPr>
        <a:noFill/>
        <a:ln w="12700" cap="flat" cmpd="sng" algn="ctr">
          <a:solidFill>
            <a:schemeClr val="accent6"/>
          </a:solidFill>
          <a:prstDash val="solid"/>
          <a:miter lim="800000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table2'!$K$14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Lbls>
            <c:dLbl>
              <c:idx val="2"/>
              <c:layout>
                <c:manualLayout>
                  <c:x val="-0.0770101925254813"/>
                  <c:y val="0.030412744388124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475651189127973"/>
                  <c:y val="-0.0347574221578566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ln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ln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table2'!$J$15:$J$19</c:f>
              <c:strCache>
                <c:ptCount val="4"/>
                <c:pt idx="0">
                  <c:v>Rahul</c:v>
                </c:pt>
                <c:pt idx="1">
                  <c:v>Neha</c:v>
                </c:pt>
                <c:pt idx="2">
                  <c:v>Amit</c:v>
                </c:pt>
                <c:pt idx="3">
                  <c:v>Kajal</c:v>
                </c:pt>
              </c:strCache>
            </c:strRef>
          </c:cat>
          <c:val>
            <c:numRef>
              <c:f>'pivot table2'!$K$15:$K$19</c:f>
              <c:numCache>
                <c:formatCode>General</c:formatCode>
                <c:ptCount val="4"/>
                <c:pt idx="0">
                  <c:v>157326</c:v>
                </c:pt>
                <c:pt idx="1">
                  <c:v>109927</c:v>
                </c:pt>
                <c:pt idx="2">
                  <c:v>39348</c:v>
                </c:pt>
                <c:pt idx="3">
                  <c:v>480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3a9b94-aa37-4a7e-8d64-9ceb987ab645}"/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ln>
            <a:solidFill>
              <a:schemeClr val="tx1">
                <a:lumMod val="95000"/>
                <a:lumOff val="5000"/>
              </a:schemeClr>
            </a:solidFill>
          </a:ln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[weekly_dashboard. .xlsx]pivot table2!PivotTable24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rPr>
              <a:t>Revenue by Category and Region</a:t>
            </a:r>
            <a:endParaR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endParaRPr>
          </a:p>
          <a:p>
            <a:pPr defTabSz="914400">
              <a:defRPr lang="en-US" sz="1400" b="1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347755668671911"/>
          <c:y val="0.0642360522397982"/>
        </c:manualLayout>
      </c:layout>
      <c:overlay val="0"/>
      <c:spPr>
        <a:noFill/>
        <a:ln w="19050" cap="flat" cmpd="sng" algn="ctr">
          <a:solidFill>
            <a:schemeClr val="accent6"/>
          </a:solidFill>
          <a:prstDash val="solid"/>
          <a:miter lim="800000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title>
    <c:autoTitleDeleted val="0"/>
    <c:plotArea>
      <c:layout>
        <c:manualLayout>
          <c:layoutTarget val="inner"/>
          <c:xMode val="edge"/>
          <c:yMode val="edge"/>
          <c:x val="0.0330181599879934"/>
          <c:y val="0.293433486794282"/>
          <c:w val="0.816298964430437"/>
          <c:h val="0.413229949115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table2'!$L$26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6"/>
                </a:gs>
                <a:gs pos="0">
                  <a:schemeClr val="accent6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6">
                      <a:lumMod val="75000"/>
                    </a:schemeClr>
                  </a:gs>
                  <a:gs pos="0">
                    <a:schemeClr val="accent6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ln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table2'!$J$27:$K$38</c:f>
              <c:multiLvlStrCache>
                <c:ptCount val="6"/>
                <c:lvl>
                  <c:pt idx="0">
                    <c:v>North</c:v>
                  </c:pt>
                  <c:pt idx="1">
                    <c:v>South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West</c:v>
                  </c:pt>
                  <c:pt idx="5">
                    <c:v>East</c:v>
                  </c:pt>
                </c:lvl>
                <c:lvl>
                  <c:pt idx="0">
                    <c:v>Electronics</c:v>
                  </c:pt>
                  <c:pt idx="2">
                    <c:v>Accessories</c:v>
                  </c:pt>
                  <c:pt idx="3">
                    <c:v>Apparel</c:v>
                  </c:pt>
                  <c:pt idx="4">
                    <c:v>Footwear</c:v>
                  </c:pt>
                  <c:pt idx="5">
                    <c:v>Stationery</c:v>
                  </c:pt>
                </c:lvl>
              </c:multiLvlStrCache>
            </c:multiLvlStrRef>
          </c:cat>
          <c:val>
            <c:numRef>
              <c:f>'pivot table2'!$L$27:$L$38</c:f>
              <c:numCache>
                <c:formatCode>General</c:formatCode>
                <c:ptCount val="6"/>
                <c:pt idx="0">
                  <c:v>39348</c:v>
                </c:pt>
                <c:pt idx="1">
                  <c:v>74985</c:v>
                </c:pt>
                <c:pt idx="2">
                  <c:v>82341</c:v>
                </c:pt>
                <c:pt idx="3">
                  <c:v>64945</c:v>
                </c:pt>
                <c:pt idx="4">
                  <c:v>44982</c:v>
                </c:pt>
                <c:pt idx="5">
                  <c:v>480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500"/>
        <c:overlap val="-50"/>
        <c:axId val="590651326"/>
        <c:axId val="50502598"/>
      </c:barChart>
      <c:catAx>
        <c:axId val="59065132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50502598"/>
        <c:crosses val="autoZero"/>
        <c:auto val="1"/>
        <c:lblAlgn val="ctr"/>
        <c:lblOffset val="100"/>
        <c:noMultiLvlLbl val="0"/>
      </c:catAx>
      <c:valAx>
        <c:axId val="5050259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5906513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solidFill>
                <a:schemeClr val="lt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eaa6955-b7f9-428b-ba17-1e4f7267348a}"/>
      </c:ext>
    </c:extLst>
  </c:chart>
  <c:spPr>
    <a:gradFill rotWithShape="1">
      <a:gsLst>
        <a:gs pos="0">
          <a:schemeClr val="accent6">
            <a:lumMod val="110000"/>
            <a:satMod val="105000"/>
            <a:tint val="67000"/>
          </a:schemeClr>
        </a:gs>
        <a:gs pos="50000">
          <a:schemeClr val="accent6">
            <a:lumMod val="105000"/>
            <a:satMod val="103000"/>
            <a:tint val="73000"/>
          </a:schemeClr>
        </a:gs>
        <a:gs pos="100000">
          <a:schemeClr val="accent6">
            <a:lumMod val="105000"/>
            <a:satMod val="109000"/>
            <a:tint val="81000"/>
          </a:schemeClr>
        </a:gs>
      </a:gsLst>
      <a:lin ang="5400000" scaled="0"/>
    </a:gradFill>
    <a:ln w="12700" cap="flat" cmpd="sng" algn="ctr">
      <a:solidFill>
        <a:schemeClr val="accent6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ln>
            <a:solidFill>
              <a:schemeClr val="tx1">
                <a:lumMod val="95000"/>
                <a:lumOff val="5000"/>
              </a:schemeClr>
            </a:solidFill>
          </a:ln>
          <a:solidFill>
            <a:schemeClr val="lt1"/>
          </a:solid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[weekly_dashboard. .xlsx]pivot table2!PivotTable8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rPr>
              <a:t>Top 5 Products by Revenue</a:t>
            </a:r>
            <a:endParaR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endParaRPr>
          </a:p>
          <a:p>
            <a:pPr defTabSz="914400">
              <a:defRPr lang="en-US" sz="1400" b="1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308109023192822"/>
          <c:y val="0.00830334901743703"/>
        </c:manualLayout>
      </c:layout>
      <c:overlay val="0"/>
      <c:spPr>
        <a:noFill/>
        <a:ln w="6350" cap="flat" cmpd="sng" algn="ctr">
          <a:solidFill>
            <a:schemeClr val="accent6"/>
          </a:solidFill>
          <a:prstDash val="dash"/>
          <a:miter lim="800000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title>
    <c:autoTitleDeleted val="0"/>
    <c:plotArea>
      <c:layout>
        <c:manualLayout>
          <c:layoutTarget val="inner"/>
          <c:xMode val="edge"/>
          <c:yMode val="edge"/>
          <c:x val="0.0311658875194787"/>
          <c:y val="0.266359181320265"/>
          <c:w val="0.826604334891628"/>
          <c:h val="0.4812337849524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table2'!$B$14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6"/>
                </a:gs>
                <a:gs pos="0">
                  <a:schemeClr val="accent6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6">
                      <a:lumMod val="75000"/>
                    </a:schemeClr>
                  </a:gs>
                  <a:gs pos="0">
                    <a:schemeClr val="accent6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ln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ln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table2'!$A$15:$A$20</c:f>
              <c:strCache>
                <c:ptCount val="5"/>
                <c:pt idx="0">
                  <c:v>Smartwatch</c:v>
                </c:pt>
                <c:pt idx="1">
                  <c:v>Laptop Bag</c:v>
                </c:pt>
                <c:pt idx="2">
                  <c:v>Sports Shoes</c:v>
                </c:pt>
                <c:pt idx="3">
                  <c:v>Jeans</c:v>
                </c:pt>
                <c:pt idx="4">
                  <c:v>Backpack</c:v>
                </c:pt>
              </c:strCache>
            </c:strRef>
          </c:cat>
          <c:val>
            <c:numRef>
              <c:f>'pivot table2'!$B$15:$B$20</c:f>
              <c:numCache>
                <c:formatCode>General</c:formatCode>
                <c:ptCount val="5"/>
                <c:pt idx="0">
                  <c:v>74985</c:v>
                </c:pt>
                <c:pt idx="1">
                  <c:v>51960</c:v>
                </c:pt>
                <c:pt idx="2">
                  <c:v>44982</c:v>
                </c:pt>
                <c:pt idx="3">
                  <c:v>44970</c:v>
                </c:pt>
                <c:pt idx="4">
                  <c:v>30381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500"/>
        <c:overlap val="-50"/>
        <c:axId val="461310231"/>
        <c:axId val="531758466"/>
      </c:barChart>
      <c:catAx>
        <c:axId val="461310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1758466"/>
        <c:crosses val="autoZero"/>
        <c:auto val="1"/>
        <c:lblAlgn val="ctr"/>
        <c:lblOffset val="100"/>
        <c:noMultiLvlLbl val="0"/>
      </c:catAx>
      <c:valAx>
        <c:axId val="53175846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1310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3c81c01-e8ac-4879-b08b-9e98b7998e6c}"/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ln>
            <a:solidFill>
              <a:schemeClr val="tx1">
                <a:lumMod val="95000"/>
                <a:lumOff val="5000"/>
              </a:schemeClr>
            </a:solidFill>
          </a:ln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7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>
      <cs:styleClr val="auto"/>
    </cs:effectRef>
    <cs:fontRef idx="minor">
      <a:schemeClr val="dk1"/>
    </cs:fontRef>
    <cs:spPr>
      <a:ln w="19050">
        <a:solidFill>
          <a:schemeClr val="lt1"/>
        </a:solidFill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162560</xdr:colOff>
      <xdr:row>0</xdr:row>
      <xdr:rowOff>7620</xdr:rowOff>
    </xdr:from>
    <xdr:to>
      <xdr:col>2</xdr:col>
      <xdr:colOff>185420</xdr:colOff>
      <xdr:row>9</xdr:row>
      <xdr:rowOff>81915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Date 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560" y="7620"/>
              <a:ext cx="1813560" cy="17202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297180</xdr:colOff>
      <xdr:row>0</xdr:row>
      <xdr:rowOff>35560</xdr:rowOff>
    </xdr:from>
    <xdr:to>
      <xdr:col>4</xdr:col>
      <xdr:colOff>281940</xdr:colOff>
      <xdr:row>10</xdr:row>
      <xdr:rowOff>18415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87880" y="35560"/>
              <a:ext cx="1798320" cy="18116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454660</xdr:colOff>
      <xdr:row>0</xdr:row>
      <xdr:rowOff>25400</xdr:rowOff>
    </xdr:from>
    <xdr:to>
      <xdr:col>6</xdr:col>
      <xdr:colOff>180340</xdr:colOff>
      <xdr:row>9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Category 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58920" y="25400"/>
              <a:ext cx="1821180" cy="1658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510540</xdr:colOff>
      <xdr:row>0</xdr:row>
      <xdr:rowOff>22860</xdr:rowOff>
    </xdr:from>
    <xdr:to>
      <xdr:col>9</xdr:col>
      <xdr:colOff>99060</xdr:colOff>
      <xdr:row>9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Salesperson 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person 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10300" y="22860"/>
              <a:ext cx="1828800" cy="17659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243840</xdr:colOff>
      <xdr:row>0</xdr:row>
      <xdr:rowOff>66040</xdr:rowOff>
    </xdr:from>
    <xdr:to>
      <xdr:col>11</xdr:col>
      <xdr:colOff>68580</xdr:colOff>
      <xdr:row>9</xdr:row>
      <xdr:rowOff>3175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 9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9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83880" y="66040"/>
              <a:ext cx="1851660" cy="15830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83820</xdr:colOff>
      <xdr:row>10</xdr:row>
      <xdr:rowOff>99060</xdr:rowOff>
    </xdr:from>
    <xdr:to>
      <xdr:col>2</xdr:col>
      <xdr:colOff>98425</xdr:colOff>
      <xdr:row>12</xdr:row>
      <xdr:rowOff>83820</xdr:rowOff>
    </xdr:to>
    <xdr:sp>
      <xdr:nvSpPr>
        <xdr:cNvPr id="9" name="Text Box 8"/>
        <xdr:cNvSpPr txBox="1"/>
      </xdr:nvSpPr>
      <xdr:spPr>
        <a:xfrm>
          <a:off x="83820" y="1927860"/>
          <a:ext cx="1805305" cy="350520"/>
        </a:xfrm>
        <a:prstGeom prst="rect">
          <a:avLst/>
        </a:prstGeom>
      </xdr:spPr>
      <xdr:style>
        <a:lnRef idx="0">
          <a:srgbClr val="FFFFFF"/>
        </a:lnRef>
        <a:fillRef idx="3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Top 5 Products by</a:t>
          </a:r>
          <a:r>
            <a:rPr lang="en-US" b="1"/>
            <a:t> </a:t>
          </a:r>
          <a:r>
            <a:rPr lang="en-US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Revenue</a:t>
          </a:r>
          <a:endParaRPr lang="en-US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22860</xdr:colOff>
      <xdr:row>11</xdr:row>
      <xdr:rowOff>22860</xdr:rowOff>
    </xdr:from>
    <xdr:to>
      <xdr:col>5</xdr:col>
      <xdr:colOff>60960</xdr:colOff>
      <xdr:row>12</xdr:row>
      <xdr:rowOff>99060</xdr:rowOff>
    </xdr:to>
    <xdr:sp>
      <xdr:nvSpPr>
        <xdr:cNvPr id="10" name="Text Box 9"/>
        <xdr:cNvSpPr txBox="1"/>
      </xdr:nvSpPr>
      <xdr:spPr>
        <a:xfrm>
          <a:off x="2887980" y="2034540"/>
          <a:ext cx="1813560" cy="259080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IN" altLang="en-US" sz="14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REVENUE BY REGION</a:t>
          </a:r>
          <a:endParaRPr lang="en-US" sz="1100"/>
        </a:p>
      </xdr:txBody>
    </xdr:sp>
    <xdr:clientData/>
  </xdr:twoCellAnchor>
  <xdr:twoCellAnchor>
    <xdr:from>
      <xdr:col>6</xdr:col>
      <xdr:colOff>68580</xdr:colOff>
      <xdr:row>10</xdr:row>
      <xdr:rowOff>122555</xdr:rowOff>
    </xdr:from>
    <xdr:to>
      <xdr:col>8</xdr:col>
      <xdr:colOff>38100</xdr:colOff>
      <xdr:row>12</xdr:row>
      <xdr:rowOff>87630</xdr:rowOff>
    </xdr:to>
    <xdr:sp>
      <xdr:nvSpPr>
        <xdr:cNvPr id="11" name="Text Box 10"/>
        <xdr:cNvSpPr txBox="1"/>
      </xdr:nvSpPr>
      <xdr:spPr>
        <a:xfrm>
          <a:off x="5768340" y="1951355"/>
          <a:ext cx="2103120" cy="330835"/>
        </a:xfrm>
        <a:prstGeom prst="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IN" altLang="en-US" sz="14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REVENUE BY CATEGORY</a:t>
          </a:r>
          <a:endParaRPr lang="en-US" sz="1100"/>
        </a:p>
      </xdr:txBody>
    </xdr:sp>
    <xdr:clientData/>
  </xdr:twoCellAnchor>
  <xdr:twoCellAnchor>
    <xdr:from>
      <xdr:col>9</xdr:col>
      <xdr:colOff>53340</xdr:colOff>
      <xdr:row>10</xdr:row>
      <xdr:rowOff>129540</xdr:rowOff>
    </xdr:from>
    <xdr:to>
      <xdr:col>10</xdr:col>
      <xdr:colOff>1066800</xdr:colOff>
      <xdr:row>12</xdr:row>
      <xdr:rowOff>53340</xdr:rowOff>
    </xdr:to>
    <xdr:sp>
      <xdr:nvSpPr>
        <xdr:cNvPr id="12" name="Text Box 11"/>
        <xdr:cNvSpPr txBox="1"/>
      </xdr:nvSpPr>
      <xdr:spPr>
        <a:xfrm>
          <a:off x="7993380" y="1958340"/>
          <a:ext cx="1965960" cy="289560"/>
        </a:xfrm>
        <a:prstGeom prst="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  <a:scene3d>
            <a:camera prst="orthographicFront"/>
            <a:lightRig rig="threePt" dir="t"/>
          </a:scene3d>
        </a:bodyPr>
        <a:p>
          <a:pPr algn="l"/>
          <a:r>
            <a:rPr lang="en-IN" altLang="en-US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REVENUE BY SALESOERSON</a:t>
          </a:r>
          <a:endParaRPr lang="en-US" sz="11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12</xdr:col>
      <xdr:colOff>15875</xdr:colOff>
      <xdr:row>10</xdr:row>
      <xdr:rowOff>53340</xdr:rowOff>
    </xdr:from>
    <xdr:to>
      <xdr:col>14</xdr:col>
      <xdr:colOff>0</xdr:colOff>
      <xdr:row>11</xdr:row>
      <xdr:rowOff>160020</xdr:rowOff>
    </xdr:to>
    <xdr:sp>
      <xdr:nvSpPr>
        <xdr:cNvPr id="13" name="Text Box 12"/>
        <xdr:cNvSpPr txBox="1"/>
      </xdr:nvSpPr>
      <xdr:spPr>
        <a:xfrm>
          <a:off x="10897235" y="1882140"/>
          <a:ext cx="1744345" cy="289560"/>
        </a:xfrm>
        <a:prstGeom prst="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IN" altLang="en-US" sz="1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WEEKLY PERFORMANCE</a:t>
          </a:r>
          <a:endParaRPr lang="en-US" sz="1100"/>
        </a:p>
      </xdr:txBody>
    </xdr:sp>
    <xdr:clientData/>
  </xdr:twoCellAnchor>
  <xdr:twoCellAnchor>
    <xdr:from>
      <xdr:col>0</xdr:col>
      <xdr:colOff>114300</xdr:colOff>
      <xdr:row>21</xdr:row>
      <xdr:rowOff>46355</xdr:rowOff>
    </xdr:from>
    <xdr:to>
      <xdr:col>2</xdr:col>
      <xdr:colOff>1036320</xdr:colOff>
      <xdr:row>23</xdr:row>
      <xdr:rowOff>38100</xdr:rowOff>
    </xdr:to>
    <xdr:sp>
      <xdr:nvSpPr>
        <xdr:cNvPr id="14" name="Text Box 13"/>
        <xdr:cNvSpPr txBox="1"/>
      </xdr:nvSpPr>
      <xdr:spPr>
        <a:xfrm>
          <a:off x="114300" y="3886835"/>
          <a:ext cx="2712720" cy="357505"/>
        </a:xfrm>
        <a:prstGeom prst="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p>
          <a:pPr algn="l"/>
          <a:r>
            <a:rPr lang="en-US" sz="12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Salesperson Performance by Region</a:t>
          </a:r>
          <a:endParaRPr lang="en-US" sz="12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68580</xdr:colOff>
      <xdr:row>22</xdr:row>
      <xdr:rowOff>7620</xdr:rowOff>
    </xdr:from>
    <xdr:to>
      <xdr:col>6</xdr:col>
      <xdr:colOff>1028700</xdr:colOff>
      <xdr:row>24</xdr:row>
      <xdr:rowOff>7620</xdr:rowOff>
    </xdr:to>
    <xdr:sp>
      <xdr:nvSpPr>
        <xdr:cNvPr id="15" name="Text Box 14"/>
        <xdr:cNvSpPr txBox="1"/>
      </xdr:nvSpPr>
      <xdr:spPr>
        <a:xfrm>
          <a:off x="3672840" y="4030980"/>
          <a:ext cx="3055620" cy="365760"/>
        </a:xfrm>
        <a:prstGeom prst="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  <a:scene3d>
            <a:camera prst="orthographicFront"/>
            <a:lightRig rig="threePt" dir="t"/>
          </a:scene3d>
        </a:bodyPr>
        <a:p>
          <a:pPr algn="l"/>
          <a:r>
            <a:rPr lang="en-US" sz="14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Revenue and Quantity by Category</a:t>
          </a:r>
          <a:endParaRPr lang="en-US" sz="14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45720</xdr:colOff>
      <xdr:row>21</xdr:row>
      <xdr:rowOff>167640</xdr:rowOff>
    </xdr:from>
    <xdr:to>
      <xdr:col>12</xdr:col>
      <xdr:colOff>0</xdr:colOff>
      <xdr:row>24</xdr:row>
      <xdr:rowOff>38100</xdr:rowOff>
    </xdr:to>
    <xdr:sp>
      <xdr:nvSpPr>
        <xdr:cNvPr id="16" name="Text Box 15"/>
        <xdr:cNvSpPr txBox="1"/>
      </xdr:nvSpPr>
      <xdr:spPr>
        <a:xfrm>
          <a:off x="7985760" y="4008120"/>
          <a:ext cx="2895600" cy="419100"/>
        </a:xfrm>
        <a:prstGeom prst="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4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Revenue by Category and Region</a:t>
          </a:r>
          <a:endParaRPr lang="en-US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0</xdr:row>
      <xdr:rowOff>83820</xdr:rowOff>
    </xdr:from>
    <xdr:to>
      <xdr:col>23</xdr:col>
      <xdr:colOff>348615</xdr:colOff>
      <xdr:row>4</xdr:row>
      <xdr:rowOff>39370</xdr:rowOff>
    </xdr:to>
    <xdr:sp>
      <xdr:nvSpPr>
        <xdr:cNvPr id="5" name="Rounded Rectangle 4"/>
        <xdr:cNvSpPr/>
      </xdr:nvSpPr>
      <xdr:spPr>
        <a:xfrm>
          <a:off x="635" y="83820"/>
          <a:ext cx="16929100" cy="687070"/>
        </a:xfrm>
        <a:prstGeom prst="roundRect">
          <a:avLst>
            <a:gd name="adj" fmla="val 50000"/>
          </a:avLst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</xdr:col>
      <xdr:colOff>116205</xdr:colOff>
      <xdr:row>0</xdr:row>
      <xdr:rowOff>83820</xdr:rowOff>
    </xdr:from>
    <xdr:to>
      <xdr:col>22</xdr:col>
      <xdr:colOff>601345</xdr:colOff>
      <xdr:row>3</xdr:row>
      <xdr:rowOff>114300</xdr:rowOff>
    </xdr:to>
    <xdr:sp>
      <xdr:nvSpPr>
        <xdr:cNvPr id="18" name="Text Box 17"/>
        <xdr:cNvSpPr txBox="1"/>
      </xdr:nvSpPr>
      <xdr:spPr>
        <a:xfrm>
          <a:off x="885825" y="83820"/>
          <a:ext cx="15687040" cy="579120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0">
          <a:srgbClr val="FFFFFF"/>
        </a:lnRef>
        <a:fillRef idx="1">
          <a:schemeClr val="accent6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IN" altLang="en-US" sz="360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    			 📊📊     </a:t>
          </a:r>
          <a:r>
            <a:rPr lang="en-US" sz="3600" b="1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Sales Performance Dashboard</a:t>
          </a:r>
          <a:r>
            <a:rPr lang="en-IN" altLang="en-US" sz="3600" b="1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  🌍🌍</a:t>
          </a:r>
          <a:endParaRPr lang="en-IN" altLang="en-US" sz="3600" b="1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twoCellAnchor>
  <xdr:twoCellAnchor>
    <xdr:from>
      <xdr:col>2</xdr:col>
      <xdr:colOff>100330</xdr:colOff>
      <xdr:row>4</xdr:row>
      <xdr:rowOff>91440</xdr:rowOff>
    </xdr:from>
    <xdr:to>
      <xdr:col>5</xdr:col>
      <xdr:colOff>14605</xdr:colOff>
      <xdr:row>10</xdr:row>
      <xdr:rowOff>68580</xdr:rowOff>
    </xdr:to>
    <xdr:sp>
      <xdr:nvSpPr>
        <xdr:cNvPr id="26" name="Rounded Rectangle 25"/>
        <xdr:cNvSpPr/>
      </xdr:nvSpPr>
      <xdr:spPr>
        <a:xfrm>
          <a:off x="1586230" y="822960"/>
          <a:ext cx="1956435" cy="1188720"/>
        </a:xfrm>
        <a:prstGeom prst="round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IN" altLang="en-US" sz="1100"/>
        </a:p>
      </xdr:txBody>
    </xdr:sp>
    <xdr:clientData/>
  </xdr:twoCellAnchor>
  <xdr:twoCellAnchor>
    <xdr:from>
      <xdr:col>5</xdr:col>
      <xdr:colOff>68580</xdr:colOff>
      <xdr:row>4</xdr:row>
      <xdr:rowOff>76200</xdr:rowOff>
    </xdr:from>
    <xdr:to>
      <xdr:col>8</xdr:col>
      <xdr:colOff>109220</xdr:colOff>
      <xdr:row>10</xdr:row>
      <xdr:rowOff>45085</xdr:rowOff>
    </xdr:to>
    <xdr:sp>
      <xdr:nvSpPr>
        <xdr:cNvPr id="27" name="Rounded Rectangle 26"/>
        <xdr:cNvSpPr/>
      </xdr:nvSpPr>
      <xdr:spPr>
        <a:xfrm>
          <a:off x="3596640" y="807720"/>
          <a:ext cx="1869440" cy="1180465"/>
        </a:xfrm>
        <a:prstGeom prst="round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8</xdr:col>
      <xdr:colOff>144780</xdr:colOff>
      <xdr:row>4</xdr:row>
      <xdr:rowOff>122555</xdr:rowOff>
    </xdr:from>
    <xdr:to>
      <xdr:col>10</xdr:col>
      <xdr:colOff>445135</xdr:colOff>
      <xdr:row>9</xdr:row>
      <xdr:rowOff>252095</xdr:rowOff>
    </xdr:to>
    <xdr:sp>
      <xdr:nvSpPr>
        <xdr:cNvPr id="28" name="Rounded Rectangle 27"/>
        <xdr:cNvSpPr/>
      </xdr:nvSpPr>
      <xdr:spPr>
        <a:xfrm>
          <a:off x="5501640" y="854075"/>
          <a:ext cx="1969135" cy="1043940"/>
        </a:xfrm>
        <a:prstGeom prst="round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  <a:p>
          <a:pPr algn="l"/>
          <a:endParaRPr lang="en-US" sz="1100"/>
        </a:p>
        <a:p>
          <a:pPr indent="457200" algn="l"/>
          <a:endParaRPr lang="en-US" sz="1100"/>
        </a:p>
      </xdr:txBody>
    </xdr:sp>
    <xdr:clientData/>
  </xdr:twoCellAnchor>
  <xdr:twoCellAnchor>
    <xdr:from>
      <xdr:col>2</xdr:col>
      <xdr:colOff>145415</xdr:colOff>
      <xdr:row>4</xdr:row>
      <xdr:rowOff>153035</xdr:rowOff>
    </xdr:from>
    <xdr:to>
      <xdr:col>4</xdr:col>
      <xdr:colOff>556895</xdr:colOff>
      <xdr:row>8</xdr:row>
      <xdr:rowOff>144780</xdr:rowOff>
    </xdr:to>
    <xdr:sp>
      <xdr:nvSpPr>
        <xdr:cNvPr id="29" name="Text Box 28"/>
        <xdr:cNvSpPr txBox="1"/>
      </xdr:nvSpPr>
      <xdr:spPr>
        <a:xfrm>
          <a:off x="1631315" y="884555"/>
          <a:ext cx="1844040" cy="72326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0">
          <a:srgbClr val="FFFFFF"/>
        </a:lnRef>
        <a:fillRef idx="2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IN" altLang="en-US" sz="1800" b="1"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sym typeface="+mn-ea"/>
            </a:rPr>
            <a:t>    </a:t>
          </a:r>
          <a:r>
            <a:rPr lang="en-IN" altLang="en-US" sz="14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Total Revenue</a:t>
          </a:r>
          <a:endParaRPr lang="en-IN" altLang="en-US" sz="14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r>
            <a:rPr lang="en-IN" altLang="en-US" sz="14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              💰</a:t>
          </a:r>
          <a:endParaRPr lang="en-IN" altLang="en-US" sz="14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endParaRPr lang="en-IN" altLang="en-US" sz="14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</xdr:txBody>
    </xdr:sp>
    <xdr:clientData/>
  </xdr:twoCellAnchor>
  <xdr:twoCellAnchor>
    <xdr:from>
      <xdr:col>5</xdr:col>
      <xdr:colOff>167640</xdr:colOff>
      <xdr:row>4</xdr:row>
      <xdr:rowOff>130175</xdr:rowOff>
    </xdr:from>
    <xdr:to>
      <xdr:col>8</xdr:col>
      <xdr:colOff>60960</xdr:colOff>
      <xdr:row>8</xdr:row>
      <xdr:rowOff>128905</xdr:rowOff>
    </xdr:to>
    <xdr:sp>
      <xdr:nvSpPr>
        <xdr:cNvPr id="30" name="Text Box 29"/>
        <xdr:cNvSpPr txBox="1"/>
      </xdr:nvSpPr>
      <xdr:spPr>
        <a:xfrm>
          <a:off x="3695700" y="861695"/>
          <a:ext cx="1722120" cy="730250"/>
        </a:xfrm>
        <a:prstGeom prst="rect">
          <a:avLst/>
        </a:prstGeom>
      </xdr:spPr>
      <xdr:style>
        <a:lnRef idx="2">
          <a:schemeClr val="accent6"/>
        </a:lnRef>
        <a:fillRef idx="2">
          <a:schemeClr val="accent6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p>
          <a:pPr algn="l"/>
          <a:r>
            <a:rPr lang="en-IN" altLang="en-US" sz="16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Unique Customer</a:t>
          </a:r>
          <a:endParaRPr lang="en-IN" altLang="en-US" sz="16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r>
            <a:rPr lang="en-IN" altLang="en-US" sz="16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            👥</a:t>
          </a:r>
          <a:endParaRPr lang="en-IN" altLang="en-US" sz="16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</xdr:txBody>
    </xdr:sp>
    <xdr:clientData/>
  </xdr:twoCellAnchor>
  <xdr:twoCellAnchor>
    <xdr:from>
      <xdr:col>8</xdr:col>
      <xdr:colOff>153670</xdr:colOff>
      <xdr:row>5</xdr:row>
      <xdr:rowOff>14605</xdr:rowOff>
    </xdr:from>
    <xdr:to>
      <xdr:col>10</xdr:col>
      <xdr:colOff>380365</xdr:colOff>
      <xdr:row>8</xdr:row>
      <xdr:rowOff>93345</xdr:rowOff>
    </xdr:to>
    <xdr:sp>
      <xdr:nvSpPr>
        <xdr:cNvPr id="31" name="Text Box 30"/>
        <xdr:cNvSpPr txBox="1"/>
      </xdr:nvSpPr>
      <xdr:spPr>
        <a:xfrm>
          <a:off x="5510530" y="929005"/>
          <a:ext cx="1895475" cy="627380"/>
        </a:xfrm>
        <a:prstGeom prst="rect">
          <a:avLst/>
        </a:prstGeom>
      </xdr:spPr>
      <xdr:style>
        <a:lnRef idx="2">
          <a:schemeClr val="accent6"/>
        </a:lnRef>
        <a:fillRef idx="2">
          <a:schemeClr val="accent6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IN" altLang="en-US" sz="16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      Top Region</a:t>
          </a:r>
          <a:endParaRPr lang="en-IN" altLang="en-US" sz="16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r>
            <a:rPr lang="en-IN" altLang="en-US" sz="16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              🌍</a:t>
          </a:r>
          <a:endParaRPr lang="en-IN" altLang="en-US" sz="16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r>
            <a:rPr lang="en-IN" altLang="en-US" sz="16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           </a:t>
          </a:r>
          <a:endParaRPr lang="en-IN" altLang="en-US" sz="1600" b="1"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sym typeface="+mn-ea"/>
          </a:endParaRPr>
        </a:p>
        <a:p>
          <a:pPr algn="l"/>
          <a:endParaRPr lang="en-IN" altLang="en-US" sz="1600" b="1"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sym typeface="+mn-ea"/>
          </a:endParaRPr>
        </a:p>
      </xdr:txBody>
    </xdr:sp>
    <xdr:clientData/>
  </xdr:twoCellAnchor>
  <xdr:twoCellAnchor>
    <xdr:from>
      <xdr:col>2</xdr:col>
      <xdr:colOff>160020</xdr:colOff>
      <xdr:row>10</xdr:row>
      <xdr:rowOff>74930</xdr:rowOff>
    </xdr:from>
    <xdr:to>
      <xdr:col>9</xdr:col>
      <xdr:colOff>25400</xdr:colOff>
      <xdr:row>23</xdr:row>
      <xdr:rowOff>46990</xdr:rowOff>
    </xdr:to>
    <xdr:graphicFrame>
      <xdr:nvGraphicFramePr>
        <xdr:cNvPr id="32" name="Chart 31"/>
        <xdr:cNvGraphicFramePr/>
      </xdr:nvGraphicFramePr>
      <xdr:xfrm>
        <a:off x="1645920" y="2018030"/>
        <a:ext cx="4345940" cy="234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</xdr:colOff>
      <xdr:row>13</xdr:row>
      <xdr:rowOff>52705</xdr:rowOff>
    </xdr:from>
    <xdr:to>
      <xdr:col>16</xdr:col>
      <xdr:colOff>2540</xdr:colOff>
      <xdr:row>24</xdr:row>
      <xdr:rowOff>144780</xdr:rowOff>
    </xdr:to>
    <xdr:graphicFrame>
      <xdr:nvGraphicFramePr>
        <xdr:cNvPr id="33" name="Chart 32"/>
        <xdr:cNvGraphicFramePr/>
      </xdr:nvGraphicFramePr>
      <xdr:xfrm>
        <a:off x="5996940" y="2544445"/>
        <a:ext cx="5588000" cy="21037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465455</xdr:colOff>
      <xdr:row>4</xdr:row>
      <xdr:rowOff>45720</xdr:rowOff>
    </xdr:from>
    <xdr:to>
      <xdr:col>16</xdr:col>
      <xdr:colOff>551815</xdr:colOff>
      <xdr:row>13</xdr:row>
      <xdr:rowOff>62230</xdr:rowOff>
    </xdr:to>
    <xdr:graphicFrame>
      <xdr:nvGraphicFramePr>
        <xdr:cNvPr id="34" name="Chart 33"/>
        <xdr:cNvGraphicFramePr/>
      </xdr:nvGraphicFramePr>
      <xdr:xfrm>
        <a:off x="7491095" y="777240"/>
        <a:ext cx="4643120" cy="17767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205740</xdr:colOff>
      <xdr:row>23</xdr:row>
      <xdr:rowOff>69215</xdr:rowOff>
    </xdr:from>
    <xdr:to>
      <xdr:col>8</xdr:col>
      <xdr:colOff>565785</xdr:colOff>
      <xdr:row>37</xdr:row>
      <xdr:rowOff>129540</xdr:rowOff>
    </xdr:to>
    <xdr:graphicFrame>
      <xdr:nvGraphicFramePr>
        <xdr:cNvPr id="36" name="Chart 35"/>
        <xdr:cNvGraphicFramePr/>
      </xdr:nvGraphicFramePr>
      <xdr:xfrm>
        <a:off x="1691640" y="4389755"/>
        <a:ext cx="4231005" cy="26206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594995</xdr:colOff>
      <xdr:row>4</xdr:row>
      <xdr:rowOff>76200</xdr:rowOff>
    </xdr:from>
    <xdr:to>
      <xdr:col>23</xdr:col>
      <xdr:colOff>170180</xdr:colOff>
      <xdr:row>15</xdr:row>
      <xdr:rowOff>153035</xdr:rowOff>
    </xdr:to>
    <xdr:graphicFrame>
      <xdr:nvGraphicFramePr>
        <xdr:cNvPr id="37" name="Chart 36"/>
        <xdr:cNvGraphicFramePr/>
      </xdr:nvGraphicFramePr>
      <xdr:xfrm>
        <a:off x="12177395" y="807720"/>
        <a:ext cx="4573905" cy="2202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53975</xdr:colOff>
      <xdr:row>16</xdr:row>
      <xdr:rowOff>22860</xdr:rowOff>
    </xdr:from>
    <xdr:to>
      <xdr:col>19</xdr:col>
      <xdr:colOff>53340</xdr:colOff>
      <xdr:row>17</xdr:row>
      <xdr:rowOff>160020</xdr:rowOff>
    </xdr:to>
    <xdr:sp>
      <xdr:nvSpPr>
        <xdr:cNvPr id="38" name="Text Box 37"/>
        <xdr:cNvSpPr txBox="1"/>
      </xdr:nvSpPr>
      <xdr:spPr>
        <a:xfrm>
          <a:off x="11636375" y="3063240"/>
          <a:ext cx="2559685" cy="320040"/>
        </a:xfrm>
        <a:prstGeom prst="rect">
          <a:avLst/>
        </a:prstGeom>
      </xdr:spPr>
      <xdr:style>
        <a:lnRef idx="0">
          <a:srgbClr val="FFFFFF"/>
        </a:lnRef>
        <a:fillRef idx="2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200" b="1"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Salesperson Performance by Region</a:t>
          </a:r>
          <a:endParaRPr lang="en-US" sz="1200" b="1">
            <a:ln>
              <a:solidFill>
                <a:schemeClr val="tx1">
                  <a:lumMod val="95000"/>
                  <a:lumOff val="5000"/>
                </a:schemeClr>
              </a:solidFill>
            </a:ln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1200" b="1">
            <a:ln>
              <a:solidFill>
                <a:schemeClr val="tx1">
                  <a:lumMod val="95000"/>
                  <a:lumOff val="5000"/>
                </a:schemeClr>
              </a:solidFill>
            </a:ln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160020</xdr:colOff>
      <xdr:row>25</xdr:row>
      <xdr:rowOff>7620</xdr:rowOff>
    </xdr:from>
    <xdr:to>
      <xdr:col>12</xdr:col>
      <xdr:colOff>198755</xdr:colOff>
      <xdr:row>26</xdr:row>
      <xdr:rowOff>159385</xdr:rowOff>
    </xdr:to>
    <xdr:sp>
      <xdr:nvSpPr>
        <xdr:cNvPr id="39" name="Text Box 38"/>
        <xdr:cNvSpPr txBox="1"/>
      </xdr:nvSpPr>
      <xdr:spPr>
        <a:xfrm>
          <a:off x="6126480" y="4693920"/>
          <a:ext cx="3216275" cy="334645"/>
        </a:xfrm>
        <a:prstGeom prst="rect">
          <a:avLst/>
        </a:prstGeom>
      </xdr:spPr>
      <xdr:style>
        <a:lnRef idx="2">
          <a:schemeClr val="accent6"/>
        </a:lnRef>
        <a:fillRef idx="2">
          <a:schemeClr val="accent6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400" b="1"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Revenue and Quantity by Category</a:t>
          </a:r>
          <a:endParaRPr lang="en-US" sz="14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7620</xdr:colOff>
      <xdr:row>4</xdr:row>
      <xdr:rowOff>45720</xdr:rowOff>
    </xdr:from>
    <xdr:to>
      <xdr:col>2</xdr:col>
      <xdr:colOff>236855</xdr:colOff>
      <xdr:row>12</xdr:row>
      <xdr:rowOff>134620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2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777240"/>
              <a:ext cx="1715135" cy="1666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</xdr:colOff>
      <xdr:row>30</xdr:row>
      <xdr:rowOff>180340</xdr:rowOff>
    </xdr:from>
    <xdr:to>
      <xdr:col>2</xdr:col>
      <xdr:colOff>177165</xdr:colOff>
      <xdr:row>42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3" name="Product 10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10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5781040"/>
              <a:ext cx="1655445" cy="21856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36830</xdr:colOff>
      <xdr:row>21</xdr:row>
      <xdr:rowOff>55245</xdr:rowOff>
    </xdr:from>
    <xdr:to>
      <xdr:col>2</xdr:col>
      <xdr:colOff>180340</xdr:colOff>
      <xdr:row>30</xdr:row>
      <xdr:rowOff>145415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4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830" y="4010025"/>
              <a:ext cx="1629410" cy="17360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231140</xdr:colOff>
      <xdr:row>25</xdr:row>
      <xdr:rowOff>45085</xdr:rowOff>
    </xdr:from>
    <xdr:to>
      <xdr:col>15</xdr:col>
      <xdr:colOff>474980</xdr:colOff>
      <xdr:row>35</xdr:row>
      <xdr:rowOff>180340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5" name="Salespers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per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75140" y="4731385"/>
              <a:ext cx="2072640" cy="19640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30480</xdr:colOff>
      <xdr:row>12</xdr:row>
      <xdr:rowOff>150495</xdr:rowOff>
    </xdr:from>
    <xdr:to>
      <xdr:col>2</xdr:col>
      <xdr:colOff>260350</xdr:colOff>
      <xdr:row>21</xdr:row>
      <xdr:rowOff>33020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6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" y="2459355"/>
              <a:ext cx="1715770" cy="15284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03.5639583333" refreshedBy="Acer" recordCount="10">
  <cacheSource type="worksheet">
    <worksheetSource ref="A1:A1" sheet="pivot table2"/>
  </cacheSource>
  <cacheFields count="10">
    <cacheField name="date" numFmtId="180">
      <sharedItems containsSemiMixedTypes="0" containsString="0" containsNonDate="0" containsDate="1" minDate="2025-01-01T00:00:00" maxDate="2025-01-05T00:00:00" count="5">
        <d v="2025-01-01T00:00:00"/>
        <d v="2025-01-02T00:00:00"/>
        <d v="2025-01-03T00:00:00"/>
        <d v="2025-01-04T00:00:00"/>
        <d v="2025-01-05T00:00:00"/>
      </sharedItems>
    </cacheField>
    <cacheField name="Invoice_ID" numFmtId="0">
      <sharedItems count="10">
        <s v="INV001"/>
        <s v="INV002"/>
        <s v="INV003"/>
        <s v="INV004"/>
        <s v="INV005"/>
        <s v="INV006"/>
        <s v="INV007"/>
        <s v="INV008"/>
        <s v="INV009"/>
        <s v="INV010"/>
      </sharedItems>
    </cacheField>
    <cacheField name="Customer_Name" numFmtId="0">
      <sharedItems count="10">
        <s v="Rohan Sharma"/>
        <s v="Priya Verma"/>
        <s v="Sachin Patel"/>
        <s v="Anita Gupta"/>
        <s v="Aman Kumar"/>
        <s v="Shruti Desai"/>
        <s v="Dev Mehta"/>
        <s v="Nikita Jain"/>
        <s v="Arjun Singh"/>
        <s v="Meera Nair"/>
      </sharedItems>
    </cacheField>
    <cacheField name="Product" numFmtId="0">
      <sharedItems count="10">
        <s v="Wireless Mouse"/>
        <s v="T-Shirt"/>
        <s v="Laptop Bag"/>
        <s v="Keyboard"/>
        <s v="Jeans"/>
        <s v="Smartwatch"/>
        <s v="Notebook"/>
        <s v="Pendrive 32GB"/>
        <s v="Sports Shoes"/>
        <s v="Backpack"/>
      </sharedItems>
    </cacheField>
    <cacheField name="Category" numFmtId="0">
      <sharedItems count="5">
        <s v="Electronics"/>
        <s v="Apparel"/>
        <s v="Accessories"/>
        <s v="Stationery"/>
        <s v="Footwear"/>
      </sharedItems>
    </cacheField>
    <cacheField name="Quantity" numFmtId="0">
      <sharedItems containsSemiMixedTypes="0" containsString="0" containsNumber="1" containsInteger="1" minValue="0" maxValue="40" count="9">
        <n v="29"/>
        <n v="25"/>
        <n v="40"/>
        <n v="18"/>
        <n v="30"/>
        <n v="15"/>
        <n v="8"/>
        <n v="5"/>
        <n v="19"/>
      </sharedItems>
    </cacheField>
    <cacheField name="Unit_Price" numFmtId="0">
      <sharedItems containsSemiMixedTypes="0" containsString="0" containsNumber="1" containsInteger="1" minValue="0" maxValue="4999" count="9">
        <n v="599"/>
        <n v="799"/>
        <n v="1299"/>
        <n v="999"/>
        <n v="1499"/>
        <n v="4999"/>
        <n v="60"/>
        <n v="2499"/>
        <n v="1599"/>
      </sharedItems>
    </cacheField>
    <cacheField name="revenue" numFmtId="0">
      <sharedItems containsSemiMixedTypes="0" containsString="0" containsNumber="1" containsInteger="1" minValue="0" maxValue="74985" count="10">
        <n v="17371"/>
        <n v="19975"/>
        <n v="51960"/>
        <n v="17982"/>
        <n v="44970"/>
        <n v="74985"/>
        <n v="480"/>
        <n v="3995"/>
        <n v="44982"/>
        <n v="30381"/>
      </sharedItems>
    </cacheField>
    <cacheField name="Salesperson" numFmtId="0">
      <sharedItems count="4">
        <s v="Amit"/>
        <s v="Neha"/>
        <s v="Rahul"/>
        <s v="Kajal"/>
      </sharedItems>
    </cacheField>
    <cacheField name="Region" numFmtId="0">
      <sharedItems count="4">
        <s v="North"/>
        <s v="West"/>
        <s v="South"/>
        <s v="East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</r>
  <r>
    <x v="1"/>
    <x v="2"/>
    <x v="2"/>
    <x v="2"/>
    <x v="2"/>
    <x v="2"/>
    <x v="2"/>
    <x v="2"/>
    <x v="2"/>
    <x v="2"/>
  </r>
  <r>
    <x v="1"/>
    <x v="3"/>
    <x v="3"/>
    <x v="3"/>
    <x v="0"/>
    <x v="3"/>
    <x v="3"/>
    <x v="3"/>
    <x v="0"/>
    <x v="0"/>
  </r>
  <r>
    <x v="2"/>
    <x v="4"/>
    <x v="4"/>
    <x v="4"/>
    <x v="1"/>
    <x v="4"/>
    <x v="4"/>
    <x v="4"/>
    <x v="1"/>
    <x v="1"/>
  </r>
  <r>
    <x v="2"/>
    <x v="5"/>
    <x v="5"/>
    <x v="5"/>
    <x v="0"/>
    <x v="5"/>
    <x v="5"/>
    <x v="5"/>
    <x v="2"/>
    <x v="2"/>
  </r>
  <r>
    <x v="3"/>
    <x v="6"/>
    <x v="6"/>
    <x v="6"/>
    <x v="3"/>
    <x v="6"/>
    <x v="6"/>
    <x v="6"/>
    <x v="3"/>
    <x v="3"/>
  </r>
  <r>
    <x v="3"/>
    <x v="7"/>
    <x v="7"/>
    <x v="7"/>
    <x v="0"/>
    <x v="7"/>
    <x v="1"/>
    <x v="7"/>
    <x v="0"/>
    <x v="0"/>
  </r>
  <r>
    <x v="4"/>
    <x v="8"/>
    <x v="8"/>
    <x v="8"/>
    <x v="4"/>
    <x v="3"/>
    <x v="7"/>
    <x v="8"/>
    <x v="1"/>
    <x v="1"/>
  </r>
  <r>
    <x v="4"/>
    <x v="9"/>
    <x v="9"/>
    <x v="9"/>
    <x v="2"/>
    <x v="8"/>
    <x v="8"/>
    <x v="9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4:B20" firstHeaderRow="1" firstDataRow="1" firstDataCol="1"/>
  <pivotFields count="10">
    <pivotField compact="0" numFmtId="180" showAll="0">
      <items count="6">
        <item x="0"/>
        <item x="1"/>
        <item x="2"/>
        <item x="3"/>
        <item x="4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measureFilter="1" compact="0" sortType="descending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showAll="0">
      <items count="11">
        <item x="6"/>
        <item x="7"/>
        <item x="0"/>
        <item x="3"/>
        <item x="1"/>
        <item x="9"/>
        <item x="4"/>
        <item x="8"/>
        <item x="2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3"/>
        <item x="0"/>
        <item x="2"/>
        <item x="1"/>
        <item t="default"/>
      </items>
    </pivotField>
  </pivotFields>
  <rowFields count="1">
    <field x="3"/>
  </rowFields>
  <rowItems count="6">
    <i>
      <x v="5"/>
    </i>
    <i>
      <x v="2"/>
    </i>
    <i>
      <x v="8"/>
    </i>
    <i>
      <x v="4"/>
    </i>
    <i>
      <x v="9"/>
    </i>
    <i t="grand">
      <x/>
    </i>
  </rowItems>
  <colItems count="1">
    <i/>
  </colItems>
  <dataFields count="1">
    <dataField name="Sum of revenue" fld="7" baseField="0" baseItem="0"/>
  </dataFields>
  <formats count="13">
    <format dxfId="0">
      <pivotArea type="all" dataOnly="0" outline="0" fieldPosition="0"/>
    </format>
    <format dxfId="1">
      <pivotArea type="all" dataOnly="0" outline="0" fieldPosition="0"/>
    </format>
    <format dxfId="2">
      <pivotArea type="all" dataOnly="0" outline="0" fieldPosition="0"/>
    </format>
    <format dxfId="3">
      <pivotArea type="all" dataOnly="0" outline="0" fieldPosition="0"/>
    </format>
    <format dxfId="4">
      <pivotArea type="all" dataOnly="0" outline="0" fieldPosition="0"/>
    </format>
    <format dxfId="5">
      <pivotArea collapsedLevelsAreSubtotals="1" fieldPosition="0">
        <references count="1">
          <reference field="3" count="1" selected="0">
            <x v="8"/>
          </reference>
        </references>
      </pivotArea>
    </format>
    <format dxfId="6">
      <pivotArea type="all" dataOnly="0" outline="0" fieldPosition="0"/>
    </format>
    <format dxfId="7">
      <pivotArea type="all" dataOnly="0" outline="0" fieldPosition="0"/>
    </format>
    <format dxfId="8">
      <pivotArea type="all" dataOnly="0" outline="0" fieldPosition="0"/>
    </format>
    <format dxfId="9">
      <pivotArea type="all" dataOnly="0" outline="0" fieldPosition="0"/>
    </format>
    <format dxfId="10">
      <pivotArea type="all" dataOnly="0" outline="0" fieldPosition="0"/>
    </format>
    <format dxfId="11">
      <pivotArea type="all" dataOnly="0" outline="0" fieldPosition="0"/>
    </format>
    <format dxfId="12">
      <pivotArea type="all" dataOnly="0" outline="0" fieldPosition="0"/>
    </format>
  </formats>
  <pivotTableStyleInfo name="PivotStylePreset2_Accent1" showRowHeaders="1" showColHeaders="1"/>
  <filters count="1">
    <filter evalOrder="-1" fld="3" iMeasureFld="0" id="1" type="valueGreaterThanOrEqual">
      <autoFilter ref="A1">
        <filterColumn colId="0">
          <customFilters>
            <customFilter operator="greaterThanOrEqual" val="30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D14:E19" firstHeaderRow="1" firstDataRow="1" firstDataCol="1"/>
  <pivotFields count="10">
    <pivotField compact="0" numFmtId="180" showAll="0">
      <items count="6">
        <item x="0"/>
        <item x="1"/>
        <item x="2"/>
        <item x="3"/>
        <item x="4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showAll="0">
      <items count="11">
        <item x="6"/>
        <item x="7"/>
        <item x="0"/>
        <item x="3"/>
        <item x="1"/>
        <item x="9"/>
        <item x="4"/>
        <item x="8"/>
        <item x="2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5">
        <item x="3"/>
        <item x="0"/>
        <item x="2"/>
        <item x="1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0" baseItem="0"/>
  </dataFields>
  <formats count="8">
    <format dxfId="13">
      <pivotArea type="all" dataOnly="0" outline="0" fieldPosition="0"/>
    </format>
    <format dxfId="14">
      <pivotArea type="all" dataOnly="0" outline="0" fieldPosition="0"/>
    </format>
    <format dxfId="15">
      <pivotArea type="all" dataOnly="0" outline="0" fieldPosition="0"/>
    </format>
    <format dxfId="16">
      <pivotArea type="all" dataOnly="0" outline="0" fieldPosition="0"/>
    </format>
    <format dxfId="17">
      <pivotArea type="all" dataOnly="0" outline="0" fieldPosition="0"/>
    </format>
    <format dxfId="18">
      <pivotArea type="all" dataOnly="0" outline="0" fieldPosition="0"/>
    </format>
    <format dxfId="19">
      <pivotArea type="all" dataOnly="0" outline="0" fieldPosition="0"/>
    </format>
    <format dxfId="20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14:H20" firstHeaderRow="1" firstDataRow="1" firstDataCol="1"/>
  <pivotFields count="10">
    <pivotField compact="0" numFmtId="180" showAll="0">
      <items count="6">
        <item x="0"/>
        <item x="1"/>
        <item x="2"/>
        <item x="3"/>
        <item x="4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ortType="descending" showAll="0">
      <items count="6">
        <item x="0"/>
        <item x="1"/>
        <item x="2"/>
        <item x="3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showAll="0">
      <items count="11">
        <item x="6"/>
        <item x="7"/>
        <item x="0"/>
        <item x="3"/>
        <item x="1"/>
        <item x="9"/>
        <item x="4"/>
        <item x="8"/>
        <item x="2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3"/>
        <item x="0"/>
        <item x="2"/>
        <item x="1"/>
        <item t="default"/>
      </items>
    </pivotField>
  </pivotFields>
  <rowFields count="1">
    <field x="4"/>
  </rowFields>
  <rowItems count="6">
    <i>
      <x/>
    </i>
    <i>
      <x v="2"/>
    </i>
    <i>
      <x v="1"/>
    </i>
    <i>
      <x v="4"/>
    </i>
    <i>
      <x v="3"/>
    </i>
    <i t="grand">
      <x/>
    </i>
  </rowItems>
  <colItems count="1">
    <i/>
  </colItems>
  <dataFields count="1">
    <dataField name="Sum of revenue" fld="7" baseField="0" baseItem="0"/>
  </dataFields>
  <formats count="4">
    <format dxfId="21">
      <pivotArea type="all" dataOnly="0" outline="0" fieldPosition="0"/>
    </format>
    <format dxfId="22">
      <pivotArea type="all" dataOnly="0" outline="0" fieldPosition="0"/>
    </format>
    <format dxfId="23">
      <pivotArea type="all" dataOnly="0" outline="0" fieldPosition="0"/>
    </format>
    <format dxfId="24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J14:K19" firstHeaderRow="1" firstDataRow="1" firstDataCol="1"/>
  <pivotFields count="10">
    <pivotField compact="0" numFmtId="180" showAll="0">
      <items count="6">
        <item x="0"/>
        <item x="1"/>
        <item x="2"/>
        <item x="3"/>
        <item x="4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showAll="0">
      <items count="11">
        <item x="6"/>
        <item x="7"/>
        <item x="0"/>
        <item x="3"/>
        <item x="1"/>
        <item x="9"/>
        <item x="4"/>
        <item x="8"/>
        <item x="2"/>
        <item x="5"/>
        <item t="default"/>
      </items>
    </pivotField>
    <pivotField axis="axisRow" compact="0" sortType="descending" showAll="0">
      <items count="5">
        <item x="0"/>
        <item x="1"/>
        <item x="2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5">
        <item x="3"/>
        <item x="0"/>
        <item x="2"/>
        <item x="1"/>
        <item t="default"/>
      </items>
    </pivotField>
  </pivotFields>
  <rowFields count="1">
    <field x="8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name="Sum of revenue" fld="7" baseField="0" baseItem="0"/>
  </dataFields>
  <formats count="4">
    <format dxfId="25">
      <pivotArea type="all" dataOnly="0" outline="0" fieldPosition="0"/>
    </format>
    <format dxfId="26">
      <pivotArea type="all" dataOnly="0" outline="0" fieldPosition="0"/>
    </format>
    <format dxfId="27">
      <pivotArea type="all" dataOnly="0" outline="0" fieldPosition="0"/>
    </format>
    <format dxfId="28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M14:N20" firstHeaderRow="1" firstDataRow="1" firstDataCol="1"/>
  <pivotFields count="10">
    <pivotField axis="axisRow" compact="0" numFmtId="180" showAll="0">
      <items count="6">
        <item x="0"/>
        <item sd="0" x="1"/>
        <item sd="0" x="2"/>
        <item sd="0" x="3"/>
        <item sd="0" x="4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showAll="0">
      <items count="11">
        <item x="6"/>
        <item x="7"/>
        <item x="0"/>
        <item x="3"/>
        <item x="1"/>
        <item x="9"/>
        <item x="4"/>
        <item x="8"/>
        <item x="2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3"/>
        <item x="0"/>
        <item x="2"/>
        <item x="1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7" baseField="0" baseItem="0"/>
  </dataFields>
  <formats count="4">
    <format dxfId="29">
      <pivotArea type="all" dataOnly="0" outline="0" fieldPosition="0"/>
    </format>
    <format dxfId="30">
      <pivotArea type="all" dataOnly="0" outline="0" fieldPosition="0"/>
    </format>
    <format dxfId="31">
      <pivotArea type="all" dataOnly="0" outline="0" fieldPosition="0"/>
    </format>
    <format dxfId="32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P14:Q25" firstHeaderRow="1" firstDataRow="1" firstDataCol="1"/>
  <pivotFields count="10">
    <pivotField compact="0" numFmtId="180" showAll="0">
      <items count="6">
        <item x="0"/>
        <item x="1"/>
        <item x="2"/>
        <item x="3"/>
        <item x="4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ortType="descending" showAll="0">
      <items count="6">
        <item x="0"/>
        <item x="1"/>
        <item x="2"/>
        <item x="3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showAll="0">
      <items count="11">
        <item x="6"/>
        <item x="7"/>
        <item x="0"/>
        <item x="3"/>
        <item x="1"/>
        <item x="9"/>
        <item x="4"/>
        <item x="8"/>
        <item x="2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3"/>
        <item x="0"/>
        <item x="2"/>
        <item x="1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" fld="7" baseField="0" baseItem="0"/>
  </dataFields>
  <formats count="4">
    <format dxfId="33">
      <pivotArea type="all" dataOnly="0" outline="0" fieldPosition="0"/>
    </format>
    <format dxfId="34">
      <pivotArea type="all" dataOnly="0" outline="0" fieldPosition="0"/>
    </format>
    <format dxfId="35">
      <pivotArea type="all" dataOnly="0" outline="0" fieldPosition="0"/>
    </format>
    <format dxfId="36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5:C34" firstHeaderRow="1" firstDataRow="1" firstDataCol="2"/>
  <pivotFields count="10">
    <pivotField compact="0" numFmtId="180" showAll="0">
      <items count="6">
        <item x="0"/>
        <item x="1"/>
        <item x="2"/>
        <item x="3"/>
        <item x="4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showAll="0">
      <items count="11">
        <item x="6"/>
        <item x="7"/>
        <item x="0"/>
        <item x="3"/>
        <item x="1"/>
        <item x="9"/>
        <item x="4"/>
        <item x="8"/>
        <item x="2"/>
        <item x="5"/>
        <item t="default"/>
      </items>
    </pivotField>
    <pivotField axis="axisRow" compact="0" sortType="descending" showAll="0">
      <items count="5">
        <item x="2"/>
        <item x="1"/>
        <item x="3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>
      <items count="5">
        <item x="3"/>
        <item x="0"/>
        <item x="2"/>
        <item x="1"/>
        <item t="default"/>
      </items>
    </pivotField>
  </pivotFields>
  <rowFields count="2">
    <field x="9"/>
    <field x="8"/>
  </rowFields>
  <rowItems count="9">
    <i>
      <x/>
    </i>
    <i r="1">
      <x v="2"/>
    </i>
    <i>
      <x v="1"/>
    </i>
    <i r="1">
      <x v="3"/>
    </i>
    <i>
      <x v="2"/>
    </i>
    <i r="1">
      <x/>
    </i>
    <i>
      <x v="3"/>
    </i>
    <i r="1">
      <x v="1"/>
    </i>
    <i t="grand">
      <x/>
    </i>
  </rowItems>
  <colItems count="1">
    <i/>
  </colItems>
  <dataFields count="1">
    <dataField name="Sum of revenue" fld="7" baseField="0" baseItem="0"/>
  </dataFields>
  <formats count="4">
    <format dxfId="37">
      <pivotArea type="all" dataOnly="0" outline="0" fieldPosition="0"/>
    </format>
    <format dxfId="38">
      <pivotArea type="all" dataOnly="0" outline="0" fieldPosition="0"/>
    </format>
    <format dxfId="39">
      <pivotArea type="all" dataOnly="0" outline="0" fieldPosition="0"/>
    </format>
    <format dxfId="40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26:G37" firstHeaderRow="0" firstDataRow="1" firstDataCol="1"/>
  <pivotFields count="10">
    <pivotField compact="0" numFmtId="180" showAll="0">
      <items count="6">
        <item x="0"/>
        <item x="1"/>
        <item x="2"/>
        <item x="3"/>
        <item x="4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ortType="descending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showAll="0">
      <items count="11">
        <item x="6"/>
        <item x="7"/>
        <item x="0"/>
        <item x="3"/>
        <item x="1"/>
        <item x="9"/>
        <item x="4"/>
        <item x="8"/>
        <item x="2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3"/>
        <item x="0"/>
        <item x="2"/>
        <item x="1"/>
        <item t="default"/>
      </items>
    </pivotField>
  </pivotFields>
  <rowFields count="1">
    <field x="3"/>
  </rowFields>
  <rowItems count="11">
    <i>
      <x v="5"/>
    </i>
    <i>
      <x v="2"/>
    </i>
    <i>
      <x v="8"/>
    </i>
    <i>
      <x v="4"/>
    </i>
    <i>
      <x v="9"/>
    </i>
    <i>
      <x v="1"/>
    </i>
    <i>
      <x v="3"/>
    </i>
    <i>
      <x/>
    </i>
    <i>
      <x v="7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revenue" fld="7" baseField="0" baseItem="0"/>
  </dataFields>
  <formats count="4">
    <format dxfId="41">
      <pivotArea type="all" dataOnly="0" outline="0" fieldPosition="0"/>
    </format>
    <format dxfId="42">
      <pivotArea type="all" dataOnly="0" outline="0" fieldPosition="0"/>
    </format>
    <format dxfId="43">
      <pivotArea type="all" dataOnly="0" outline="0" fieldPosition="0"/>
    </format>
    <format dxfId="44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J26:L38" firstHeaderRow="1" firstDataRow="1" firstDataCol="2"/>
  <pivotFields count="10">
    <pivotField compact="0" numFmtId="180" showAll="0">
      <items count="6">
        <item x="0"/>
        <item x="1"/>
        <item x="2"/>
        <item x="3"/>
        <item x="4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ortType="descending" showAll="0">
      <items count="6">
        <item x="0"/>
        <item x="1"/>
        <item x="2"/>
        <item x="3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showAll="0">
      <items count="11">
        <item x="6"/>
        <item x="7"/>
        <item x="0"/>
        <item x="3"/>
        <item x="1"/>
        <item x="9"/>
        <item x="4"/>
        <item x="8"/>
        <item x="2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5">
        <item x="3"/>
        <item x="0"/>
        <item x="2"/>
        <item x="1"/>
        <item t="default"/>
      </items>
    </pivotField>
  </pivotFields>
  <rowFields count="2">
    <field x="4"/>
    <field x="9"/>
  </rowFields>
  <rowItems count="12">
    <i>
      <x/>
    </i>
    <i r="1">
      <x v="1"/>
    </i>
    <i r="1">
      <x v="2"/>
    </i>
    <i>
      <x v="2"/>
    </i>
    <i r="1">
      <x v="2"/>
    </i>
    <i>
      <x v="1"/>
    </i>
    <i r="1">
      <x v="3"/>
    </i>
    <i>
      <x v="4"/>
    </i>
    <i r="1">
      <x v="3"/>
    </i>
    <i>
      <x v="3"/>
    </i>
    <i r="1">
      <x/>
    </i>
    <i t="grand">
      <x/>
    </i>
  </rowItems>
  <colItems count="1">
    <i/>
  </colItems>
  <dataFields count="1">
    <dataField name="Sum of revenue" fld="7" baseField="0" baseItem="0"/>
  </dataFields>
  <formats count="4">
    <format dxfId="45">
      <pivotArea type="all" dataOnly="0" outline="0" fieldPosition="0"/>
    </format>
    <format dxfId="46">
      <pivotArea type="all" dataOnly="0" outline="0" fieldPosition="0"/>
    </format>
    <format dxfId="47">
      <pivotArea type="all" dataOnly="0" outline="0" fieldPosition="0"/>
    </format>
    <format dxfId="48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2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Q19:S28" firstHeaderRow="1" firstDataRow="1" firstDataCol="2"/>
  <pivotFields count="10">
    <pivotField compact="0" numFmtId="180" showAll="0">
      <items count="6">
        <item x="0"/>
        <item x="1"/>
        <item x="2"/>
        <item x="3"/>
        <item x="4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showAll="0">
      <items count="11">
        <item x="6"/>
        <item x="7"/>
        <item x="0"/>
        <item x="3"/>
        <item x="1"/>
        <item x="9"/>
        <item x="4"/>
        <item x="8"/>
        <item x="2"/>
        <item x="5"/>
        <item t="default"/>
      </items>
    </pivotField>
    <pivotField axis="axisRow" compact="0" sortType="descending" showAll="0">
      <items count="5">
        <item x="2"/>
        <item x="1"/>
        <item x="3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>
      <items count="5">
        <item x="3"/>
        <item x="0"/>
        <item x="2"/>
        <item x="1"/>
        <item t="default"/>
      </items>
    </pivotField>
  </pivotFields>
  <rowFields count="2">
    <field x="9"/>
    <field x="8"/>
  </rowFields>
  <rowItems count="9">
    <i>
      <x/>
    </i>
    <i r="1">
      <x v="2"/>
    </i>
    <i>
      <x v="1"/>
    </i>
    <i r="1">
      <x v="3"/>
    </i>
    <i>
      <x v="2"/>
    </i>
    <i r="1">
      <x/>
    </i>
    <i>
      <x v="3"/>
    </i>
    <i r="1">
      <x v="1"/>
    </i>
    <i t="grand">
      <x/>
    </i>
  </rowItems>
  <colItems count="1">
    <i/>
  </colItems>
  <dataFields count="1">
    <dataField name="Sum of revenue" fld="7" baseField="0" baseItem="0"/>
  </dataFields>
  <formats count="12">
    <format dxfId="49">
      <pivotArea type="all" dataOnly="0" outline="0" fieldPosition="0"/>
    </format>
    <format dxfId="50">
      <pivotArea type="all" dataOnly="0" outline="0" fieldPosition="0"/>
    </format>
    <format dxfId="51">
      <pivotArea type="all" dataOnly="0" outline="0" fieldPosition="0"/>
    </format>
    <format dxfId="52">
      <pivotArea type="all" dataOnly="0" outline="0" fieldPosition="0"/>
    </format>
    <format dxfId="53">
      <pivotArea type="all" dataOnly="0" outline="0" fieldPosition="0"/>
    </format>
    <format dxfId="54">
      <pivotArea type="all" dataOnly="0" outline="0" fieldPosition="0"/>
    </format>
    <format dxfId="55">
      <pivotArea type="all" dataOnly="0" outline="0" fieldPosition="0"/>
    </format>
    <format dxfId="56">
      <pivotArea type="all" dataOnly="0" outline="0" fieldPosition="0"/>
    </format>
    <format dxfId="57">
      <pivotArea type="all" dataOnly="0" outline="0" fieldPosition="0"/>
    </format>
    <format dxfId="58">
      <pivotArea type="all" dataOnly="0" outline="0" fieldPosition="0"/>
    </format>
    <format dxfId="59">
      <pivotArea type="all" dataOnly="0" outline="0" fieldPosition="0"/>
    </format>
    <format dxfId="60">
      <pivotArea type="all" dataOnly="0" outline="0" fieldPosition="0"/>
    </format>
  </formats>
  <pivotTableStyleInfo name="PivotStylePreset1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2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J28:L39" firstHeaderRow="0" firstDataRow="1" firstDataCol="1"/>
  <pivotFields count="10">
    <pivotField compact="0" numFmtId="180" showAll="0">
      <items count="6">
        <item x="0"/>
        <item x="1"/>
        <item x="2"/>
        <item x="3"/>
        <item x="4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ortType="descending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showAll="0">
      <items count="11">
        <item x="6"/>
        <item x="7"/>
        <item x="0"/>
        <item x="3"/>
        <item x="1"/>
        <item x="9"/>
        <item x="4"/>
        <item x="8"/>
        <item x="2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3"/>
        <item x="0"/>
        <item x="2"/>
        <item x="1"/>
        <item t="default"/>
      </items>
    </pivotField>
  </pivotFields>
  <rowFields count="1">
    <field x="3"/>
  </rowFields>
  <rowItems count="11">
    <i>
      <x v="5"/>
    </i>
    <i>
      <x v="2"/>
    </i>
    <i>
      <x v="8"/>
    </i>
    <i>
      <x v="4"/>
    </i>
    <i>
      <x v="9"/>
    </i>
    <i>
      <x v="1"/>
    </i>
    <i>
      <x v="3"/>
    </i>
    <i>
      <x/>
    </i>
    <i>
      <x v="7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revenue" fld="7" baseField="0" baseItem="0"/>
  </dataFields>
  <formats count="15">
    <format dxfId="61">
      <pivotArea type="all" dataOnly="0" outline="0" fieldPosition="0"/>
    </format>
    <format dxfId="62">
      <pivotArea type="all" dataOnly="0" outline="0" fieldPosition="0"/>
    </format>
    <format dxfId="63">
      <pivotArea type="all" dataOnly="0" outline="0" fieldPosition="0"/>
    </format>
    <format dxfId="64">
      <pivotArea field="3" type="button" dataOnly="0" labelOnly="1" outline="0" fieldPosition="0"/>
    </format>
    <format dxfId="65">
      <pivotArea dataOnly="0" labelOnly="1" fieldPosition="0">
        <references count="1">
          <reference field="4294967294" count="1">
            <x v="0"/>
          </reference>
        </references>
      </pivotArea>
    </format>
    <format dxfId="66">
      <pivotArea dataOnly="0" labelOnly="1" fieldPosition="0">
        <references count="1">
          <reference field="4294967294" count="1">
            <x v="1"/>
          </reference>
        </references>
      </pivotArea>
    </format>
    <format dxfId="67">
      <pivotArea type="all" dataOnly="0" outline="0" fieldPosition="0"/>
    </format>
    <format dxfId="68">
      <pivotArea type="all" dataOnly="0" outline="0" fieldPosition="0"/>
    </format>
    <format dxfId="69">
      <pivotArea type="all" dataOnly="0" outline="0" fieldPosition="0"/>
    </format>
    <format dxfId="70">
      <pivotArea type="all" dataOnly="0" outline="0" fieldPosition="0"/>
    </format>
    <format dxfId="71">
      <pivotArea type="all" dataOnly="0" outline="0" fieldPosition="0"/>
    </format>
    <format dxfId="72">
      <pivotArea type="all" dataOnly="0" outline="0" fieldPosition="0"/>
    </format>
    <format dxfId="73">
      <pivotArea type="all" dataOnly="0" outline="0" fieldPosition="0"/>
    </format>
    <format dxfId="74">
      <pivotArea type="all" dataOnly="0" outline="0" fieldPosition="0"/>
    </format>
    <format dxfId="75">
      <pivotArea type="all" dataOnly="0" outline="0" fieldPosition="0"/>
    </format>
  </formats>
  <pivotTableStyleInfo name="PivotStylePreset1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te6" sourceName="date">
  <pivotTables>
    <pivotTable tabId="3" name="PivotTable4"/>
    <pivotTable tabId="3" name="PivotTable21"/>
    <pivotTable tabId="18" name="PivotTable25"/>
  </pivotTables>
  <data>
    <tabular pivotCacheId="1">
      <items count="5">
        <i x="0" s="1"/>
        <i x="1" s="1"/>
        <i x="2" s="1"/>
        <i x="3" s="1"/>
        <i x="4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3" name="PivotTable4"/>
    <pivotTable tabId="3" name="PivotTable21"/>
    <pivotTable tabId="18" name="PivotTable25"/>
  </pivotTables>
  <data>
    <tabular pivotCacheId="1">
      <items count="10">
        <i x="9" s="1"/>
        <i x="4" s="1"/>
        <i x="3" s="1"/>
        <i x="2" s="1"/>
        <i x="6" s="1"/>
        <i x="7" s="1"/>
        <i x="5" s="1"/>
        <i x="8" s="1"/>
        <i x="1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7" sourceName="Category">
  <pivotTables>
    <pivotTable tabId="3" name="PivotTable4"/>
    <pivotTable tabId="3" name="PivotTable21"/>
    <pivotTable tabId="18" name="PivotTable25"/>
  </pivotTables>
  <data>
    <tabular pivotCacheId="1">
      <items count="5">
        <i x="2" s="1"/>
        <i x="1" s="1"/>
        <i x="0" s="1"/>
        <i x="4" s="1"/>
        <i x="3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lesperson8" sourceName="Salesperson">
  <pivotTables>
    <pivotTable tabId="3" name="PivotTable4"/>
    <pivotTable tabId="3" name="PivotTable21"/>
    <pivotTable tabId="18" name="PivotTable25"/>
  </pivotTables>
  <data>
    <tabular pivotCacheId="1">
      <items count="4">
        <i x="0" s="1"/>
        <i x="3" s="1"/>
        <i x="1" s="1"/>
        <i x="2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9" sourceName="Region">
  <pivotTables>
    <pivotTable tabId="3" name="PivotTable4"/>
    <pivotTable tabId="3" name="PivotTable21"/>
    <pivotTable tabId="18" name="PivotTable25"/>
  </pivotTables>
  <data>
    <tabular pivotCacheId="1">
      <items count="4">
        <i x="3" s="1"/>
        <i x="0" s="1"/>
        <i x="2" s="1"/>
        <i x="1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te" sourceName="date">
  <pivotTables>
    <pivotTable tabId="3" name="PivotTable6"/>
  </pivotTables>
  <data>
    <tabular pivotCacheId="1">
      <items count="5">
        <i x="0" s="1"/>
        <i x="1" s="1"/>
        <i x="2" s="1"/>
        <i x="3" s="1"/>
        <i x="4" s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10" sourceName="Product">
  <pivotTables>
    <pivotTable tabId="3" name="PivotTable6"/>
  </pivotTables>
  <data>
    <tabular pivotCacheId="1">
      <items count="10">
        <i x="9" s="1"/>
        <i x="4" s="1"/>
        <i x="3" s="1"/>
        <i x="2" s="1"/>
        <i x="6" s="1"/>
        <i x="7" s="1"/>
        <i x="5" s="1"/>
        <i x="8" s="1"/>
        <i x="1" s="1"/>
        <i x="0" s="1"/>
      </items>
    </tabular>
  </data>
  <extLst/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3" name="PivotTable6"/>
  </pivotTables>
  <data>
    <tabular pivotCacheId="1">
      <items count="5">
        <i x="2" s="1"/>
        <i x="1" s="1"/>
        <i x="0" s="1"/>
        <i x="4" s="1"/>
        <i x="3" s="1"/>
      </items>
    </tabular>
  </data>
  <extLst/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lesperson" sourceName="Salesperson">
  <pivotTables>
    <pivotTable tabId="3" name="PivotTable6"/>
  </pivotTables>
  <data>
    <tabular pivotCacheId="1">
      <items count="4">
        <i x="0" s="1"/>
        <i x="3" s="1"/>
        <i x="1" s="1"/>
        <i x="2" s="1"/>
      </items>
    </tabular>
  </data>
  <extLst/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6"/>
  </pivotTables>
  <data>
    <tabular pivotCacheId="1">
      <items count="4">
        <i x="3" s="1"/>
        <i x="0" s="1"/>
        <i x="2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ate 6" cache="Slicer_date6" caption="Date" rowHeight="225425"/>
  <slicer name="Product" cache="Slicer_Product" caption="Product" startItem="5" rowHeight="225425"/>
  <slicer name="Category 7" cache="Slicer_Category7" caption="Category" rowHeight="225425"/>
  <slicer name="Salesperson 8" cache="Slicer_Salesperson8" caption="Salesperson" rowHeight="225425"/>
  <slicer name="Region 9" cache="Slicer_Region9" caption="Region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ate" cache="Slicer_date" caption="Date" style="SlicerStyleLight6" rowHeight="225425"/>
  <slicer name="Product 10" cache="Slicer_Product10" caption="Product" style="SlicerStyleLight6" rowHeight="225425"/>
  <slicer name="Category" cache="Slicer_Category" caption="Category" style="SlicerStyleLight6" rowHeight="225425"/>
  <slicer name="Salesperson" cache="Slicer_Salesperson" caption="Salesperson" style="SlicerStyleLight6" rowHeight="225425"/>
  <slicer name="Region" cache="Slicer_Region" caption="Region" style="SlicerStyleLight6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1" Type="http://schemas.microsoft.com/office/2007/relationships/slicer" Target="../slicers/slicer1.xml"/><Relationship Id="rId10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4" Type="http://schemas.microsoft.com/office/2007/relationships/slicer" Target="../slicers/slicer2.xml"/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4:Q38"/>
  <sheetViews>
    <sheetView workbookViewId="0">
      <selection activeCell="M5" sqref="M5"/>
    </sheetView>
  </sheetViews>
  <sheetFormatPr defaultColWidth="8.88888888888889" defaultRowHeight="14.4"/>
  <cols>
    <col min="1" max="1" width="12.2222222222222" style="6"/>
    <col min="2" max="2" width="13.8888888888889" style="6"/>
    <col min="3" max="3" width="15.6666666666667" style="6"/>
    <col min="4" max="4" width="10.7777777777778" style="6" customWidth="1"/>
    <col min="5" max="5" width="15.1111111111111" style="6"/>
    <col min="6" max="7" width="15.4444444444444" style="6"/>
    <col min="8" max="8" width="15.6666666666667" style="6"/>
    <col min="9" max="9" width="1.55555555555556" style="6" customWidth="1"/>
    <col min="10" max="10" width="13.8888888888889" style="6"/>
    <col min="11" max="11" width="15.6666666666667" style="6"/>
    <col min="12" max="12" width="13.3333333333333" style="6" customWidth="1"/>
    <col min="13" max="13" width="11.6666666666667" style="6"/>
    <col min="14" max="14" width="14" style="6" customWidth="1"/>
    <col min="15" max="15" width="4.66666666666667" style="6" customWidth="1"/>
    <col min="16" max="16" width="18.5555555555556" style="6"/>
    <col min="17" max="18" width="15.6666666666667" style="6"/>
    <col min="19" max="16384" width="8.88888888888889" style="6"/>
  </cols>
  <sheetData>
    <row r="14" spans="1:17">
      <c r="A14" s="7" t="s">
        <v>0</v>
      </c>
      <c r="B14" s="7" t="s">
        <v>1</v>
      </c>
      <c r="D14" s="7" t="s">
        <v>2</v>
      </c>
      <c r="E14" s="7" t="s">
        <v>1</v>
      </c>
      <c r="G14" s="6" t="s">
        <v>3</v>
      </c>
      <c r="H14" s="6" t="s">
        <v>1</v>
      </c>
      <c r="J14" s="6" t="s">
        <v>4</v>
      </c>
      <c r="K14" s="6" t="s">
        <v>1</v>
      </c>
      <c r="M14" s="6" t="s">
        <v>5</v>
      </c>
      <c r="N14" s="6" t="s">
        <v>1</v>
      </c>
      <c r="P14" s="6" t="s">
        <v>6</v>
      </c>
      <c r="Q14" s="6" t="s">
        <v>1</v>
      </c>
    </row>
    <row r="15" spans="1:17">
      <c r="A15" s="7" t="s">
        <v>7</v>
      </c>
      <c r="B15" s="7">
        <v>74985</v>
      </c>
      <c r="D15" s="7" t="s">
        <v>8</v>
      </c>
      <c r="E15" s="7">
        <v>480</v>
      </c>
      <c r="G15" s="6" t="s">
        <v>9</v>
      </c>
      <c r="H15" s="6">
        <v>114333</v>
      </c>
      <c r="J15" s="6" t="s">
        <v>10</v>
      </c>
      <c r="K15" s="6">
        <v>157326</v>
      </c>
      <c r="M15" s="8">
        <v>45658</v>
      </c>
      <c r="N15" s="6">
        <v>37346</v>
      </c>
      <c r="P15" s="6" t="s">
        <v>11</v>
      </c>
      <c r="Q15" s="6">
        <v>17371</v>
      </c>
    </row>
    <row r="16" spans="1:17">
      <c r="A16" s="7" t="s">
        <v>12</v>
      </c>
      <c r="B16" s="7">
        <v>51960</v>
      </c>
      <c r="D16" s="7" t="s">
        <v>13</v>
      </c>
      <c r="E16" s="7">
        <v>39348</v>
      </c>
      <c r="G16" s="6" t="s">
        <v>14</v>
      </c>
      <c r="H16" s="6">
        <v>82341</v>
      </c>
      <c r="J16" s="6" t="s">
        <v>15</v>
      </c>
      <c r="K16" s="6">
        <v>109927</v>
      </c>
      <c r="M16" s="8">
        <v>45659</v>
      </c>
      <c r="N16" s="6">
        <v>69942</v>
      </c>
      <c r="P16" s="6" t="s">
        <v>16</v>
      </c>
      <c r="Q16" s="6">
        <v>19975</v>
      </c>
    </row>
    <row r="17" spans="1:17">
      <c r="A17" s="7" t="s">
        <v>17</v>
      </c>
      <c r="B17" s="7">
        <v>44982</v>
      </c>
      <c r="C17" s="7"/>
      <c r="D17" s="7" t="s">
        <v>18</v>
      </c>
      <c r="E17" s="7">
        <v>157326</v>
      </c>
      <c r="G17" s="6" t="s">
        <v>19</v>
      </c>
      <c r="H17" s="6">
        <v>64945</v>
      </c>
      <c r="J17" s="6" t="s">
        <v>20</v>
      </c>
      <c r="K17" s="6">
        <v>39348</v>
      </c>
      <c r="M17" s="8">
        <v>45660</v>
      </c>
      <c r="N17" s="6">
        <v>119955</v>
      </c>
      <c r="P17" s="6" t="s">
        <v>21</v>
      </c>
      <c r="Q17" s="6">
        <v>51960</v>
      </c>
    </row>
    <row r="18" spans="1:17">
      <c r="A18" s="7" t="s">
        <v>22</v>
      </c>
      <c r="B18" s="7">
        <v>44970</v>
      </c>
      <c r="D18" s="7" t="s">
        <v>23</v>
      </c>
      <c r="E18" s="7">
        <v>109927</v>
      </c>
      <c r="G18" s="6" t="s">
        <v>24</v>
      </c>
      <c r="H18" s="6">
        <v>44982</v>
      </c>
      <c r="J18" s="6" t="s">
        <v>25</v>
      </c>
      <c r="K18" s="6">
        <v>480</v>
      </c>
      <c r="M18" s="8">
        <v>45661</v>
      </c>
      <c r="N18" s="6">
        <v>4475</v>
      </c>
      <c r="P18" s="6" t="s">
        <v>26</v>
      </c>
      <c r="Q18" s="6">
        <v>17982</v>
      </c>
    </row>
    <row r="19" spans="1:17">
      <c r="A19" s="7" t="s">
        <v>27</v>
      </c>
      <c r="B19" s="7">
        <v>30381</v>
      </c>
      <c r="D19" s="7" t="s">
        <v>28</v>
      </c>
      <c r="E19" s="7">
        <v>307081</v>
      </c>
      <c r="G19" s="6" t="s">
        <v>29</v>
      </c>
      <c r="H19" s="6">
        <v>480</v>
      </c>
      <c r="J19" s="6" t="s">
        <v>28</v>
      </c>
      <c r="K19" s="6">
        <v>307081</v>
      </c>
      <c r="M19" s="8">
        <v>45662</v>
      </c>
      <c r="N19" s="6">
        <v>75363</v>
      </c>
      <c r="P19" s="6" t="s">
        <v>30</v>
      </c>
      <c r="Q19" s="6">
        <v>44970</v>
      </c>
    </row>
    <row r="20" spans="1:17">
      <c r="A20" s="7" t="s">
        <v>28</v>
      </c>
      <c r="B20" s="7">
        <v>247278</v>
      </c>
      <c r="G20" s="6" t="s">
        <v>28</v>
      </c>
      <c r="H20" s="6">
        <v>307081</v>
      </c>
      <c r="M20" s="6" t="s">
        <v>28</v>
      </c>
      <c r="N20" s="6">
        <v>307081</v>
      </c>
      <c r="P20" s="6" t="s">
        <v>31</v>
      </c>
      <c r="Q20" s="6">
        <v>74985</v>
      </c>
    </row>
    <row r="21" spans="1:17">
      <c r="A21" s="7"/>
      <c r="B21" s="7"/>
      <c r="P21" s="6" t="s">
        <v>32</v>
      </c>
      <c r="Q21" s="6">
        <v>480</v>
      </c>
    </row>
    <row r="22" spans="16:17">
      <c r="P22" s="6" t="s">
        <v>33</v>
      </c>
      <c r="Q22" s="6">
        <v>3995</v>
      </c>
    </row>
    <row r="23" spans="16:17">
      <c r="P23" s="6" t="s">
        <v>34</v>
      </c>
      <c r="Q23" s="6">
        <v>44982</v>
      </c>
    </row>
    <row r="24" spans="16:17">
      <c r="P24" s="6" t="s">
        <v>35</v>
      </c>
      <c r="Q24" s="6">
        <v>30381</v>
      </c>
    </row>
    <row r="25" spans="1:17">
      <c r="A25" s="6" t="s">
        <v>2</v>
      </c>
      <c r="B25" s="6" t="s">
        <v>4</v>
      </c>
      <c r="C25" s="6" t="s">
        <v>1</v>
      </c>
      <c r="P25" s="6" t="s">
        <v>28</v>
      </c>
      <c r="Q25" s="6">
        <v>307081</v>
      </c>
    </row>
    <row r="26" spans="1:12">
      <c r="A26" s="6" t="s">
        <v>8</v>
      </c>
      <c r="C26" s="6">
        <v>480</v>
      </c>
      <c r="E26" s="6" t="s">
        <v>0</v>
      </c>
      <c r="F26" s="6" t="s">
        <v>36</v>
      </c>
      <c r="G26" s="6" t="s">
        <v>1</v>
      </c>
      <c r="J26" s="6" t="s">
        <v>3</v>
      </c>
      <c r="K26" s="6" t="s">
        <v>2</v>
      </c>
      <c r="L26" s="6" t="s">
        <v>1</v>
      </c>
    </row>
    <row r="27" spans="2:12">
      <c r="B27" s="6" t="s">
        <v>25</v>
      </c>
      <c r="C27" s="6">
        <v>480</v>
      </c>
      <c r="E27" s="6" t="s">
        <v>7</v>
      </c>
      <c r="F27" s="6">
        <v>15</v>
      </c>
      <c r="G27" s="6">
        <v>74985</v>
      </c>
      <c r="J27" s="6" t="s">
        <v>9</v>
      </c>
      <c r="L27" s="6">
        <v>114333</v>
      </c>
    </row>
    <row r="28" spans="1:12">
      <c r="A28" s="6" t="s">
        <v>13</v>
      </c>
      <c r="C28" s="6">
        <v>39348</v>
      </c>
      <c r="E28" s="6" t="s">
        <v>12</v>
      </c>
      <c r="F28" s="6">
        <v>40</v>
      </c>
      <c r="G28" s="6">
        <v>51960</v>
      </c>
      <c r="K28" s="6" t="s">
        <v>13</v>
      </c>
      <c r="L28" s="6">
        <v>39348</v>
      </c>
    </row>
    <row r="29" spans="2:12">
      <c r="B29" s="6" t="s">
        <v>20</v>
      </c>
      <c r="C29" s="6">
        <v>39348</v>
      </c>
      <c r="E29" s="6" t="s">
        <v>17</v>
      </c>
      <c r="F29" s="6">
        <v>18</v>
      </c>
      <c r="G29" s="6">
        <v>44982</v>
      </c>
      <c r="K29" s="6" t="s">
        <v>18</v>
      </c>
      <c r="L29" s="6">
        <v>74985</v>
      </c>
    </row>
    <row r="30" spans="1:12">
      <c r="A30" s="6" t="s">
        <v>18</v>
      </c>
      <c r="C30" s="6">
        <v>157326</v>
      </c>
      <c r="E30" s="6" t="s">
        <v>22</v>
      </c>
      <c r="F30" s="6">
        <v>30</v>
      </c>
      <c r="G30" s="6">
        <v>44970</v>
      </c>
      <c r="J30" s="6" t="s">
        <v>14</v>
      </c>
      <c r="L30" s="6">
        <v>82341</v>
      </c>
    </row>
    <row r="31" spans="2:12">
      <c r="B31" s="6" t="s">
        <v>10</v>
      </c>
      <c r="C31" s="6">
        <v>157326</v>
      </c>
      <c r="E31" s="6" t="s">
        <v>27</v>
      </c>
      <c r="F31" s="6">
        <v>19</v>
      </c>
      <c r="G31" s="6">
        <v>30381</v>
      </c>
      <c r="K31" s="6" t="s">
        <v>18</v>
      </c>
      <c r="L31" s="6">
        <v>82341</v>
      </c>
    </row>
    <row r="32" spans="1:12">
      <c r="A32" s="6" t="s">
        <v>23</v>
      </c>
      <c r="C32" s="6">
        <v>109927</v>
      </c>
      <c r="E32" s="6" t="s">
        <v>37</v>
      </c>
      <c r="F32" s="6">
        <v>25</v>
      </c>
      <c r="G32" s="6">
        <v>19975</v>
      </c>
      <c r="J32" s="6" t="s">
        <v>19</v>
      </c>
      <c r="L32" s="6">
        <v>64945</v>
      </c>
    </row>
    <row r="33" spans="2:12">
      <c r="B33" s="6" t="s">
        <v>15</v>
      </c>
      <c r="C33" s="6">
        <v>109927</v>
      </c>
      <c r="E33" s="6" t="s">
        <v>38</v>
      </c>
      <c r="F33" s="6">
        <v>18</v>
      </c>
      <c r="G33" s="6">
        <v>17982</v>
      </c>
      <c r="K33" s="6" t="s">
        <v>23</v>
      </c>
      <c r="L33" s="6">
        <v>64945</v>
      </c>
    </row>
    <row r="34" spans="1:12">
      <c r="A34" s="6" t="s">
        <v>28</v>
      </c>
      <c r="C34" s="6">
        <v>307081</v>
      </c>
      <c r="E34" s="6" t="s">
        <v>39</v>
      </c>
      <c r="F34" s="6">
        <v>29</v>
      </c>
      <c r="G34" s="6">
        <v>17371</v>
      </c>
      <c r="J34" s="6" t="s">
        <v>24</v>
      </c>
      <c r="L34" s="6">
        <v>44982</v>
      </c>
    </row>
    <row r="35" spans="5:12">
      <c r="E35" s="6" t="s">
        <v>40</v>
      </c>
      <c r="F35" s="6">
        <v>5</v>
      </c>
      <c r="G35" s="6">
        <v>3995</v>
      </c>
      <c r="K35" s="6" t="s">
        <v>23</v>
      </c>
      <c r="L35" s="6">
        <v>44982</v>
      </c>
    </row>
    <row r="36" spans="5:12">
      <c r="E36" s="6" t="s">
        <v>41</v>
      </c>
      <c r="F36" s="6">
        <v>8</v>
      </c>
      <c r="G36" s="6">
        <v>480</v>
      </c>
      <c r="J36" s="6" t="s">
        <v>29</v>
      </c>
      <c r="L36" s="6">
        <v>480</v>
      </c>
    </row>
    <row r="37" spans="5:12">
      <c r="E37" s="6" t="s">
        <v>28</v>
      </c>
      <c r="F37" s="6">
        <v>207</v>
      </c>
      <c r="G37" s="6">
        <v>307081</v>
      </c>
      <c r="K37" s="6" t="s">
        <v>8</v>
      </c>
      <c r="L37" s="6">
        <v>480</v>
      </c>
    </row>
    <row r="38" spans="10:12">
      <c r="J38" s="6" t="s">
        <v>28</v>
      </c>
      <c r="L38" s="6">
        <v>307081</v>
      </c>
    </row>
  </sheetData>
  <pageMargins left="0.75" right="0.75" top="1" bottom="1" header="0.5" footer="0.5"/>
  <headerFooter/>
  <drawing r:id="rId10"/>
  <extLst>
    <ext xmlns:x14="http://schemas.microsoft.com/office/spreadsheetml/2009/9/main" uri="{A8765BA9-456A-4dab-B4F3-ACF838C121DE}">
      <x14:slicerList>
        <x14:slicer r:id="rId11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0:S39"/>
  <sheetViews>
    <sheetView tabSelected="1" workbookViewId="0">
      <selection activeCell="G24" sqref="G24"/>
    </sheetView>
  </sheetViews>
  <sheetFormatPr defaultColWidth="8.88888888888889" defaultRowHeight="14.4"/>
  <cols>
    <col min="1" max="1" width="11.2222222222222" style="1" customWidth="1"/>
    <col min="2" max="2" width="10.4444444444444" style="1" customWidth="1"/>
    <col min="3" max="3" width="8.88888888888889" style="1"/>
    <col min="4" max="4" width="12" style="1"/>
    <col min="5" max="9" width="8.88888888888889" style="1"/>
    <col min="10" max="12" width="15.4444444444444" style="1"/>
    <col min="13" max="17" width="8.88888888888889" style="1"/>
    <col min="18" max="18" width="13.5555555555556" style="1"/>
    <col min="19" max="19" width="14.8888888888889" style="1"/>
    <col min="20" max="16384" width="8.88888888888889" style="1"/>
  </cols>
  <sheetData>
    <row r="10" ht="23.4" spans="4:10">
      <c r="D10" s="2">
        <f>SUM('pivot table2'!G27:G36)</f>
        <v>307081</v>
      </c>
      <c r="G10" s="3">
        <f>COUNTA('pivot table2'!P15:P24)</f>
        <v>10</v>
      </c>
      <c r="J10" s="4" t="str" cm="1">
        <f t="array" ref="J10">INDEX('pivot table2'!D15:D18,MATCH(LARGE('pivot table2'!E15:E18,1),'pivot table2'!E15:E18))</f>
        <v>South</v>
      </c>
    </row>
    <row r="19" spans="17:19">
      <c r="Q19" s="1" t="s">
        <v>2</v>
      </c>
      <c r="R19" s="1" t="s">
        <v>4</v>
      </c>
      <c r="S19" s="1" t="s">
        <v>1</v>
      </c>
    </row>
    <row r="20" spans="17:19">
      <c r="Q20" s="1" t="s">
        <v>8</v>
      </c>
      <c r="S20" s="1">
        <v>480</v>
      </c>
    </row>
    <row r="21" spans="18:19">
      <c r="R21" s="1" t="s">
        <v>25</v>
      </c>
      <c r="S21" s="1">
        <v>480</v>
      </c>
    </row>
    <row r="22" spans="17:19">
      <c r="Q22" s="1" t="s">
        <v>13</v>
      </c>
      <c r="S22" s="1">
        <v>39348</v>
      </c>
    </row>
    <row r="23" spans="18:19">
      <c r="R23" s="1" t="s">
        <v>20</v>
      </c>
      <c r="S23" s="1">
        <v>39348</v>
      </c>
    </row>
    <row r="24" spans="17:19">
      <c r="Q24" s="1" t="s">
        <v>18</v>
      </c>
      <c r="S24" s="1">
        <v>157326</v>
      </c>
    </row>
    <row r="25" spans="18:19">
      <c r="R25" s="1" t="s">
        <v>10</v>
      </c>
      <c r="S25" s="1">
        <v>157326</v>
      </c>
    </row>
    <row r="26" spans="17:19">
      <c r="Q26" s="1" t="s">
        <v>23</v>
      </c>
      <c r="S26" s="1">
        <v>109927</v>
      </c>
    </row>
    <row r="27" spans="18:19">
      <c r="R27" s="1" t="s">
        <v>15</v>
      </c>
      <c r="S27" s="1">
        <v>109927</v>
      </c>
    </row>
    <row r="28" spans="10:19">
      <c r="J28" s="5" t="s">
        <v>0</v>
      </c>
      <c r="K28" s="5" t="s">
        <v>36</v>
      </c>
      <c r="L28" s="5" t="s">
        <v>1</v>
      </c>
      <c r="Q28" s="1" t="s">
        <v>28</v>
      </c>
      <c r="S28" s="1">
        <v>307081</v>
      </c>
    </row>
    <row r="29" spans="10:12">
      <c r="J29" s="1" t="s">
        <v>7</v>
      </c>
      <c r="K29" s="1">
        <v>15</v>
      </c>
      <c r="L29" s="1">
        <v>74985</v>
      </c>
    </row>
    <row r="30" spans="10:12">
      <c r="J30" s="1" t="s">
        <v>12</v>
      </c>
      <c r="K30" s="1">
        <v>40</v>
      </c>
      <c r="L30" s="1">
        <v>51960</v>
      </c>
    </row>
    <row r="31" spans="10:12">
      <c r="J31" s="1" t="s">
        <v>17</v>
      </c>
      <c r="K31" s="1">
        <v>18</v>
      </c>
      <c r="L31" s="1">
        <v>44982</v>
      </c>
    </row>
    <row r="32" spans="10:12">
      <c r="J32" s="1" t="s">
        <v>22</v>
      </c>
      <c r="K32" s="1">
        <v>30</v>
      </c>
      <c r="L32" s="1">
        <v>44970</v>
      </c>
    </row>
    <row r="33" spans="10:12">
      <c r="J33" s="1" t="s">
        <v>27</v>
      </c>
      <c r="K33" s="1">
        <v>19</v>
      </c>
      <c r="L33" s="1">
        <v>30381</v>
      </c>
    </row>
    <row r="34" spans="10:12">
      <c r="J34" s="1" t="s">
        <v>37</v>
      </c>
      <c r="K34" s="1">
        <v>25</v>
      </c>
      <c r="L34" s="1">
        <v>19975</v>
      </c>
    </row>
    <row r="35" spans="10:12">
      <c r="J35" s="1" t="s">
        <v>38</v>
      </c>
      <c r="K35" s="1">
        <v>18</v>
      </c>
      <c r="L35" s="1">
        <v>17982</v>
      </c>
    </row>
    <row r="36" spans="10:12">
      <c r="J36" s="1" t="s">
        <v>39</v>
      </c>
      <c r="K36" s="1">
        <v>29</v>
      </c>
      <c r="L36" s="1">
        <v>17371</v>
      </c>
    </row>
    <row r="37" spans="10:12">
      <c r="J37" s="1" t="s">
        <v>40</v>
      </c>
      <c r="K37" s="1">
        <v>5</v>
      </c>
      <c r="L37" s="1">
        <v>3995</v>
      </c>
    </row>
    <row r="38" spans="10:12">
      <c r="J38" s="1" t="s">
        <v>41</v>
      </c>
      <c r="K38" s="1">
        <v>8</v>
      </c>
      <c r="L38" s="1">
        <v>480</v>
      </c>
    </row>
    <row r="39" spans="10:12">
      <c r="J39" s="1" t="s">
        <v>28</v>
      </c>
      <c r="K39" s="1">
        <v>207</v>
      </c>
      <c r="L39" s="1">
        <v>307081</v>
      </c>
    </row>
  </sheetData>
  <pageMargins left="0.75" right="0.75" top="1" bottom="1" header="0.5" footer="0.5"/>
  <headerFooter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 table2</vt:lpstr>
      <vt:lpstr>weekly_dashboards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shivangi Maurya</cp:lastModifiedBy>
  <dcterms:created xsi:type="dcterms:W3CDTF">2025-12-11T14:51:00Z</dcterms:created>
  <dcterms:modified xsi:type="dcterms:W3CDTF">2025-12-20T20:02:27Z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5B0274521E594323A92E1C04DED88ACE_13</vt:lpwstr>
  </property>
  <property fmtid="{D5CDD505-2E9C-101B-9397-08002B2CF9AE}" pid="3" name="KSOProductBuildVer">
    <vt:lpwstr>1033-12.2.0.23155</vt:lpwstr>
  </property>
</Properties>
</file>