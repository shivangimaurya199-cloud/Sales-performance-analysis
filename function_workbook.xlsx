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15" activeTab="1"/>
  </bookViews>
  <sheets>
    <sheet name="FUNCTION WORKBOOK" sheetId="1" r:id="rId1"/>
    <sheet name="calcul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<sst xmlns="http://schemas.openxmlformats.org/spreadsheetml/2006/main" count="180" uniqueCount="92">
  <si>
    <t>condition logic</t>
  </si>
  <si>
    <t xml:space="preserve">If </t>
  </si>
  <si>
    <t>Ifs</t>
  </si>
  <si>
    <t>Iferror</t>
  </si>
  <si>
    <t>date</t>
  </si>
  <si>
    <t>Invoice_ID</t>
  </si>
  <si>
    <t>Customer_Name</t>
  </si>
  <si>
    <t>Product</t>
  </si>
  <si>
    <t>Category</t>
  </si>
  <si>
    <t>Quantity</t>
  </si>
  <si>
    <t>Unit_Price</t>
  </si>
  <si>
    <t>revenue</t>
  </si>
  <si>
    <t>Salesperson</t>
  </si>
  <si>
    <t>Region</t>
  </si>
  <si>
    <t>Categorize profit as High/Low</t>
  </si>
  <si>
    <t>Revenue tier classification</t>
  </si>
  <si>
    <t>Prevent #N/A in VLOOKUP results</t>
  </si>
  <si>
    <t>INV001</t>
  </si>
  <si>
    <t>Rohan Sharma</t>
  </si>
  <si>
    <t>Wireless Mouse</t>
  </si>
  <si>
    <t>Electronics</t>
  </si>
  <si>
    <t>Amit</t>
  </si>
  <si>
    <t>North</t>
  </si>
  <si>
    <t>INV002</t>
  </si>
  <si>
    <t>Priya Verma</t>
  </si>
  <si>
    <t>T-Shirt</t>
  </si>
  <si>
    <t>Apparel</t>
  </si>
  <si>
    <t>Neha</t>
  </si>
  <si>
    <t>West</t>
  </si>
  <si>
    <t>INV003</t>
  </si>
  <si>
    <t>Sachin Patel</t>
  </si>
  <si>
    <t>Laptop Bag</t>
  </si>
  <si>
    <t>Accessories</t>
  </si>
  <si>
    <t>Rahul</t>
  </si>
  <si>
    <t>South</t>
  </si>
  <si>
    <t>INV004</t>
  </si>
  <si>
    <t>Anita Gupta</t>
  </si>
  <si>
    <t>Keyboard</t>
  </si>
  <si>
    <t>INV005</t>
  </si>
  <si>
    <t>Aman Kumar</t>
  </si>
  <si>
    <t>Jeans</t>
  </si>
  <si>
    <t>INV006</t>
  </si>
  <si>
    <t>Shruti Desai</t>
  </si>
  <si>
    <t>Smartwatch</t>
  </si>
  <si>
    <t>INV007</t>
  </si>
  <si>
    <t>Dev Mehta</t>
  </si>
  <si>
    <t>Notebook</t>
  </si>
  <si>
    <t>Stationery</t>
  </si>
  <si>
    <t>Kajal</t>
  </si>
  <si>
    <t>East</t>
  </si>
  <si>
    <t>INV008</t>
  </si>
  <si>
    <t>Nikita Jain</t>
  </si>
  <si>
    <t>Pendrive 32GB</t>
  </si>
  <si>
    <t>INV009</t>
  </si>
  <si>
    <t>Arjun Singh</t>
  </si>
  <si>
    <t>Sports Shoes</t>
  </si>
  <si>
    <t>Footwear</t>
  </si>
  <si>
    <t>INV010</t>
  </si>
  <si>
    <t>Meera Nair</t>
  </si>
  <si>
    <t>Backpack</t>
  </si>
  <si>
    <t>Lookup Functions</t>
  </si>
  <si>
    <t>Find Revenue by Invoice ID</t>
  </si>
  <si>
    <t>Date Functions</t>
  </si>
  <si>
    <t>XLOOKUP</t>
  </si>
  <si>
    <t>Year</t>
  </si>
  <si>
    <t>Find Customer by Product</t>
  </si>
  <si>
    <t xml:space="preserve">month </t>
  </si>
  <si>
    <t>Month name</t>
  </si>
  <si>
    <t>WEEKNUM</t>
  </si>
  <si>
    <t>VLOOKUP</t>
  </si>
  <si>
    <t>Find Product Category by Product Name</t>
  </si>
  <si>
    <t>TODAY DATE</t>
  </si>
  <si>
    <t>Text functions</t>
  </si>
  <si>
    <t>Left()</t>
  </si>
  <si>
    <t>INDEX + MATCH</t>
  </si>
  <si>
    <t>Find Product by Customer Name</t>
  </si>
  <si>
    <t>Right()</t>
  </si>
  <si>
    <t>mid()</t>
  </si>
  <si>
    <t>Find revenue for "Amit" in "North" region:</t>
  </si>
  <si>
    <t>Order Summary (concat)</t>
  </si>
  <si>
    <t>Find revenue where Salesperson="Neha" AND Region="West":</t>
  </si>
  <si>
    <t>Sales Report Line (concat)</t>
  </si>
  <si>
    <t>Remove Special Characters</t>
  </si>
  <si>
    <t>PROFIT</t>
  </si>
  <si>
    <t>ANALYTICAL FUNCTION</t>
  </si>
  <si>
    <t>1. CALCULATE TOTAL REVENUE:</t>
  </si>
  <si>
    <t>5. TOTAL PROFIT:</t>
  </si>
  <si>
    <t>2. FIND AVERAGE OF TOTAL REVENUE:</t>
  </si>
  <si>
    <t>6. FIND MEDIAN :</t>
  </si>
  <si>
    <r>
      <rPr>
        <sz val="11"/>
        <color theme="1"/>
        <rFont val="Calibri"/>
        <charset val="134"/>
        <scheme val="minor"/>
      </rPr>
      <t>3.</t>
    </r>
    <r>
      <rPr>
        <b/>
        <sz val="11"/>
        <color theme="1"/>
        <rFont val="Calibri"/>
        <charset val="134"/>
        <scheme val="minor"/>
      </rPr>
      <t xml:space="preserve"> FIND MAXIMUM VALUE:</t>
    </r>
  </si>
  <si>
    <t>7. FIND SD:</t>
  </si>
  <si>
    <r>
      <rPr>
        <sz val="11"/>
        <color theme="1"/>
        <rFont val="Calibri"/>
        <charset val="134"/>
        <scheme val="minor"/>
      </rPr>
      <t xml:space="preserve">4. </t>
    </r>
    <r>
      <rPr>
        <b/>
        <sz val="11"/>
        <color theme="1"/>
        <rFont val="Calibri"/>
        <charset val="134"/>
        <scheme val="minor"/>
      </rPr>
      <t>FIND MINIMUM VALUE: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</si>
</sst>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0">
    <font>
      <sz val="11"/>
      <color theme="1"/>
      <name val="Calibri"/>
      <charset val="134"/>
      <scheme val="minor"/>
    </font>
    <font>
      <b/>
      <sz val="14"/>
      <color theme="4"/>
      <name val="Calibri"/>
      <charset val="134"/>
      <scheme val="minor"/>
    </font>
    <font>
      <sz val="11"/>
      <color theme="4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8"/>
      <color rgb="FF0070C0"/>
      <name val="Calibri"/>
      <charset val="134"/>
      <scheme val="minor"/>
    </font>
    <font>
      <sz val="18"/>
      <color rgb="FF0070C0"/>
      <name val="Calibri"/>
      <charset val="134"/>
      <scheme val="minor"/>
    </font>
    <font>
      <b/>
      <sz val="12"/>
      <color rgb="FF0070C0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sz val="16"/>
      <color rgb="FF0070C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2" borderId="5" xfId="0" applyFill="1" applyBorder="1">
      <alignment vertical="center"/>
    </xf>
    <xf numFmtId="0" fontId="0" fillId="0" borderId="4" xfId="0" applyBorder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NumberFormat="1" applyFont="1" applyFill="1">
      <alignment vertical="center"/>
    </xf>
    <xf numFmtId="0" fontId="0" fillId="2" borderId="0" xfId="0" applyNumberFormat="1" applyFill="1">
      <alignment vertical="center"/>
    </xf>
    <xf numFmtId="0" fontId="0" fillId="2" borderId="0" xfId="0" applyFont="1" applyFill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NumberFormat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0" borderId="1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0" fillId="0" borderId="5" xfId="0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0" fontId="10" fillId="2" borderId="1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0" fillId="2" borderId="5" xfId="0" applyFill="1" applyBorder="1" applyAlignment="1">
      <alignment horizontal="right" vertical="center"/>
    </xf>
    <xf numFmtId="180" fontId="0" fillId="0" borderId="8" xfId="0" applyNumberFormat="1" applyBorder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2_7" displayName="Table2_7" ref="A2:J12" totalsRowShown="0">
  <autoFilter xmlns:etc="http://www.wps.cn/officeDocument/2017/etCustomData" ref="A2:J12" etc:filterBottomFollowUsedRange="0"/>
  <tableColumns count="10">
    <tableColumn id="1" name="date"/>
    <tableColumn id="2" name="Invoice_ID"/>
    <tableColumn id="3" name="Customer_Name"/>
    <tableColumn id="4" name="Product"/>
    <tableColumn id="5" name="Category"/>
    <tableColumn id="6" name="Quantity"/>
    <tableColumn id="7" name="Unit_Price"/>
    <tableColumn id="8" name="revenue" dataDxfId="0">
      <calculatedColumnFormula>PRODUCT(F3:G3)</calculatedColumnFormula>
    </tableColumn>
    <tableColumn id="9" name="Salesperson"/>
    <tableColumn id="10" name="Region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_73" displayName="Table2_73" ref="A1:K11" totalsRowShown="0">
  <autoFilter xmlns:etc="http://www.wps.cn/officeDocument/2017/etCustomData" ref="A1:K11" etc:filterBottomFollowUsedRange="0"/>
  <tableColumns count="11">
    <tableColumn id="1" name="date"/>
    <tableColumn id="2" name="Invoice_ID"/>
    <tableColumn id="3" name="Customer_Name"/>
    <tableColumn id="4" name="Product"/>
    <tableColumn id="5" name="Category"/>
    <tableColumn id="6" name="Quantity"/>
    <tableColumn id="7" name="Unit_Price"/>
    <tableColumn id="8" name="revenue" dataDxfId="1">
      <calculatedColumnFormula>PRODUCT(F2:G2)</calculatedColumnFormula>
    </tableColumn>
    <tableColumn id="9" name="Salesperson"/>
    <tableColumn id="10" name="Region"/>
    <tableColumn id="11" name="PROFIT" dataDxfId="2">
      <calculatedColumnFormula>H2-G2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M19" sqref="M19"/>
    </sheetView>
  </sheetViews>
  <sheetFormatPr defaultColWidth="8.88888888888889" defaultRowHeight="14.4"/>
  <cols>
    <col min="1" max="1" width="10.7777777777778" customWidth="1"/>
    <col min="2" max="2" width="12.1111111111111" customWidth="1"/>
    <col min="3" max="3" width="12.7777777777778" customWidth="1"/>
    <col min="4" max="4" width="16.6666666666667" customWidth="1"/>
    <col min="5" max="5" width="14.8888888888889" customWidth="1"/>
    <col min="6" max="6" width="9" customWidth="1"/>
    <col min="7" max="7" width="12.7777777777778" customWidth="1"/>
    <col min="8" max="8" width="12.5555555555556" customWidth="1"/>
    <col min="9" max="9" width="11.5555555555556" customWidth="1"/>
    <col min="10" max="10" width="11.7777777777778" customWidth="1"/>
    <col min="11" max="11" width="3.47222222222222" customWidth="1"/>
    <col min="12" max="12" width="18.75" customWidth="1"/>
    <col min="13" max="13" width="25.8333333333333" customWidth="1"/>
    <col min="14" max="14" width="22.5" customWidth="1"/>
    <col min="15" max="15" width="29.7222222222222" customWidth="1"/>
  </cols>
  <sheetData>
    <row r="1" ht="20" customHeight="1" spans="12:15">
      <c r="L1" s="38" t="s">
        <v>0</v>
      </c>
      <c r="M1" s="39" t="s">
        <v>1</v>
      </c>
      <c r="N1" s="39" t="s">
        <v>2</v>
      </c>
      <c r="O1" s="40" t="s">
        <v>3</v>
      </c>
    </row>
    <row r="2" spans="1:1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L2" s="12"/>
      <c r="M2" s="41" t="s">
        <v>14</v>
      </c>
      <c r="N2" s="41" t="s">
        <v>15</v>
      </c>
      <c r="O2" s="42" t="s">
        <v>16</v>
      </c>
    </row>
    <row r="3" spans="1:15">
      <c r="A3" s="2">
        <v>45658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29</v>
      </c>
      <c r="G3" s="1">
        <v>599</v>
      </c>
      <c r="H3" s="3">
        <f t="shared" ref="H3:H12" si="0">PRODUCT(F3:G3)</f>
        <v>17371</v>
      </c>
      <c r="I3" s="1" t="s">
        <v>21</v>
      </c>
      <c r="J3" s="1" t="s">
        <v>22</v>
      </c>
      <c r="L3" s="12"/>
      <c r="M3" t="str">
        <f>IF(H3&gt;40000,"High Profit","Low Profit")</f>
        <v>Low Profit</v>
      </c>
      <c r="N3" t="str" cm="1">
        <f t="array" ref="N3">_xlfn.IFS(H3&gt;70000,"platinum",H3&gt;50000,"gold",H3&gt;10000,"silver",TRUE,"bronze")</f>
        <v>silver</v>
      </c>
      <c r="O3" s="43" t="str" cm="1">
        <f t="array" ref="O3">IFERROR(VLOOKUP(H3,unit_price H3:H12,2,FALSE),"Not Found")</f>
        <v>Not Found</v>
      </c>
    </row>
    <row r="4" spans="1:15">
      <c r="A4" s="2">
        <v>45658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25</v>
      </c>
      <c r="G4" s="1">
        <v>799</v>
      </c>
      <c r="H4" s="3">
        <f t="shared" si="0"/>
        <v>19975</v>
      </c>
      <c r="I4" s="1" t="s">
        <v>27</v>
      </c>
      <c r="J4" s="1" t="s">
        <v>28</v>
      </c>
      <c r="L4" s="12"/>
      <c r="M4" t="str">
        <f t="shared" ref="M4:M12" si="1">IF(H4&gt;40000,"High Profit","Low Profit")</f>
        <v>Low Profit</v>
      </c>
      <c r="N4" t="str" cm="1">
        <f t="array" ref="N4">_xlfn.IFS(H4&gt;70000,"platinum",H4&gt;50000,"gold",H4&gt;10000,"silver",TRUE,"bronze")</f>
        <v>silver</v>
      </c>
      <c r="O4" s="43" t="str" cm="1">
        <f t="array" ref="O4">IFERROR(VLOOKUP(H4,unit_price H4:H13,2,FALSE),"Not Found")</f>
        <v>Not Found</v>
      </c>
    </row>
    <row r="5" spans="1:15">
      <c r="A5" s="2">
        <v>45659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40</v>
      </c>
      <c r="G5" s="1">
        <v>1299</v>
      </c>
      <c r="H5" s="3">
        <f t="shared" si="0"/>
        <v>51960</v>
      </c>
      <c r="I5" s="1" t="s">
        <v>33</v>
      </c>
      <c r="J5" s="1" t="s">
        <v>34</v>
      </c>
      <c r="L5" s="12"/>
      <c r="M5" t="str">
        <f t="shared" si="1"/>
        <v>High Profit</v>
      </c>
      <c r="N5" t="str" cm="1">
        <f t="array" ref="N5">_xlfn.IFS(H5&gt;70000,"platinum",H5&gt;50000,"gold",H5&gt;10000,"silver",TRUE,"bronze")</f>
        <v>gold</v>
      </c>
      <c r="O5" s="43" t="str" cm="1">
        <f t="array" ref="O5">IFERROR(VLOOKUP(H5,unit_price H5:H14,2,FALSE),"Not Found")</f>
        <v>Not Found</v>
      </c>
    </row>
    <row r="6" spans="1:15">
      <c r="A6" s="2">
        <v>45659</v>
      </c>
      <c r="B6" s="1" t="s">
        <v>35</v>
      </c>
      <c r="C6" s="1" t="s">
        <v>36</v>
      </c>
      <c r="D6" s="1" t="s">
        <v>37</v>
      </c>
      <c r="E6" s="1" t="s">
        <v>20</v>
      </c>
      <c r="F6" s="1">
        <v>18</v>
      </c>
      <c r="G6" s="1">
        <v>999</v>
      </c>
      <c r="H6" s="3">
        <f t="shared" si="0"/>
        <v>17982</v>
      </c>
      <c r="I6" s="1" t="s">
        <v>21</v>
      </c>
      <c r="J6" s="1" t="s">
        <v>22</v>
      </c>
      <c r="L6" s="12"/>
      <c r="M6" t="str">
        <f t="shared" si="1"/>
        <v>Low Profit</v>
      </c>
      <c r="N6" t="str" cm="1">
        <f t="array" ref="N6">_xlfn.IFS(H6&gt;70000,"platinum",H6&gt;50000,"gold",H6&gt;10000,"silver",TRUE,"bronze")</f>
        <v>silver</v>
      </c>
      <c r="O6" s="43" t="str" cm="1">
        <f t="array" ref="O6">IFERROR(VLOOKUP(H6,unit_price H6:H15,2,FALSE),"Not Found")</f>
        <v>Not Found</v>
      </c>
    </row>
    <row r="7" spans="1:15">
      <c r="A7" s="2">
        <v>45660</v>
      </c>
      <c r="B7" s="1" t="s">
        <v>38</v>
      </c>
      <c r="C7" s="1" t="s">
        <v>39</v>
      </c>
      <c r="D7" s="1" t="s">
        <v>40</v>
      </c>
      <c r="E7" s="1" t="s">
        <v>26</v>
      </c>
      <c r="F7" s="1">
        <v>30</v>
      </c>
      <c r="G7" s="1">
        <v>1499</v>
      </c>
      <c r="H7" s="3">
        <f t="shared" si="0"/>
        <v>44970</v>
      </c>
      <c r="I7" s="1" t="s">
        <v>27</v>
      </c>
      <c r="J7" s="1" t="s">
        <v>28</v>
      </c>
      <c r="L7" s="12"/>
      <c r="M7" t="str">
        <f t="shared" si="1"/>
        <v>High Profit</v>
      </c>
      <c r="N7" t="str" cm="1">
        <f t="array" ref="N7">_xlfn.IFS(H7&gt;70000,"platinum",H7&gt;50000,"gold",H7&gt;10000,"silver",TRUE,"bronze")</f>
        <v>silver</v>
      </c>
      <c r="O7" s="43" t="str" cm="1">
        <f t="array" ref="O7">IFERROR(VLOOKUP(H7,unit_price H7:H16,2,FALSE),"Not Found")</f>
        <v>Not Found</v>
      </c>
    </row>
    <row r="8" spans="1:15">
      <c r="A8" s="2">
        <v>45660</v>
      </c>
      <c r="B8" s="1" t="s">
        <v>41</v>
      </c>
      <c r="C8" s="1" t="s">
        <v>42</v>
      </c>
      <c r="D8" s="1" t="s">
        <v>43</v>
      </c>
      <c r="E8" s="1" t="s">
        <v>20</v>
      </c>
      <c r="F8" s="1">
        <v>15</v>
      </c>
      <c r="G8" s="1">
        <v>4999</v>
      </c>
      <c r="H8" s="3">
        <f t="shared" si="0"/>
        <v>74985</v>
      </c>
      <c r="I8" s="1" t="s">
        <v>33</v>
      </c>
      <c r="J8" s="1" t="s">
        <v>34</v>
      </c>
      <c r="L8" s="12"/>
      <c r="M8" t="str">
        <f t="shared" si="1"/>
        <v>High Profit</v>
      </c>
      <c r="N8" t="str" cm="1">
        <f t="array" ref="N8">_xlfn.IFS(H8&gt;70000,"platinum",H8&gt;50000,"gold",H8&gt;10000,"silver",TRUE,"bronze")</f>
        <v>platinum</v>
      </c>
      <c r="O8" s="43" t="str" cm="1">
        <f t="array" ref="O8">IFERROR(VLOOKUP(H8,unit_price H8:H17,2,FALSE),"Not Found")</f>
        <v>Not Found</v>
      </c>
    </row>
    <row r="9" spans="1:15">
      <c r="A9" s="2">
        <v>45661</v>
      </c>
      <c r="B9" s="1" t="s">
        <v>44</v>
      </c>
      <c r="C9" s="1" t="s">
        <v>45</v>
      </c>
      <c r="D9" s="1" t="s">
        <v>46</v>
      </c>
      <c r="E9" s="1" t="s">
        <v>47</v>
      </c>
      <c r="F9" s="1">
        <v>8</v>
      </c>
      <c r="G9" s="1">
        <v>60</v>
      </c>
      <c r="H9" s="3">
        <f t="shared" si="0"/>
        <v>480</v>
      </c>
      <c r="I9" s="1" t="s">
        <v>48</v>
      </c>
      <c r="J9" s="1" t="s">
        <v>49</v>
      </c>
      <c r="L9" s="12"/>
      <c r="M9" t="str">
        <f t="shared" si="1"/>
        <v>Low Profit</v>
      </c>
      <c r="N9" t="str" cm="1">
        <f t="array" ref="N9">_xlfn.IFS(H9&gt;70000,"platinum",H9&gt;50000,"gold",H9&gt;10000,"silver",TRUE,"bronze")</f>
        <v>bronze</v>
      </c>
      <c r="O9" s="43" t="str" cm="1">
        <f t="array" ref="O9">IFERROR(VLOOKUP(H9,unit_price H9:H18,2,FALSE),"Not Found")</f>
        <v>Not Found</v>
      </c>
    </row>
    <row r="10" spans="1:15">
      <c r="A10" s="2">
        <v>45661</v>
      </c>
      <c r="B10" s="1" t="s">
        <v>50</v>
      </c>
      <c r="C10" s="1" t="s">
        <v>51</v>
      </c>
      <c r="D10" s="1" t="s">
        <v>52</v>
      </c>
      <c r="E10" s="1" t="s">
        <v>20</v>
      </c>
      <c r="F10" s="1">
        <v>5</v>
      </c>
      <c r="G10" s="1">
        <v>799</v>
      </c>
      <c r="H10" s="3">
        <f t="shared" si="0"/>
        <v>3995</v>
      </c>
      <c r="I10" s="1" t="s">
        <v>21</v>
      </c>
      <c r="J10" s="1" t="s">
        <v>22</v>
      </c>
      <c r="L10" s="12"/>
      <c r="M10" t="str">
        <f t="shared" si="1"/>
        <v>Low Profit</v>
      </c>
      <c r="N10" t="str" cm="1">
        <f t="array" ref="N10">_xlfn.IFS(H10&gt;70000,"platinum",H10&gt;50000,"gold",H10&gt;10000,"silver",TRUE,"bronze")</f>
        <v>bronze</v>
      </c>
      <c r="O10" s="43" t="str" cm="1">
        <f t="array" ref="O10">IFERROR(VLOOKUP(H10,unit_price H10:H19,2,FALSE),"Not Found")</f>
        <v>Not Found</v>
      </c>
    </row>
    <row r="11" spans="1:15">
      <c r="A11" s="2">
        <v>45662</v>
      </c>
      <c r="B11" s="1" t="s">
        <v>53</v>
      </c>
      <c r="C11" s="1" t="s">
        <v>54</v>
      </c>
      <c r="D11" s="1" t="s">
        <v>55</v>
      </c>
      <c r="E11" s="1" t="s">
        <v>56</v>
      </c>
      <c r="F11" s="1">
        <v>18</v>
      </c>
      <c r="G11" s="1">
        <v>2499</v>
      </c>
      <c r="H11" s="3">
        <f t="shared" si="0"/>
        <v>44982</v>
      </c>
      <c r="I11" s="1" t="s">
        <v>27</v>
      </c>
      <c r="J11" s="1" t="s">
        <v>28</v>
      </c>
      <c r="L11" s="12"/>
      <c r="M11" t="str">
        <f t="shared" si="1"/>
        <v>High Profit</v>
      </c>
      <c r="N11" t="str" cm="1">
        <f t="array" ref="N11">_xlfn.IFS(H11&gt;70000,"platinum",H11&gt;50000,"gold",H11&gt;10000,"silver",TRUE,"bronze")</f>
        <v>silver</v>
      </c>
      <c r="O11" s="43" t="str" cm="1">
        <f t="array" ref="O11">IFERROR(VLOOKUP(H11,unit_price H11:H20,2,FALSE),"Not Found")</f>
        <v>Not Found</v>
      </c>
    </row>
    <row r="12" spans="1:15">
      <c r="A12" s="2">
        <v>45662</v>
      </c>
      <c r="B12" s="1" t="s">
        <v>57</v>
      </c>
      <c r="C12" s="1" t="s">
        <v>58</v>
      </c>
      <c r="D12" s="1" t="s">
        <v>59</v>
      </c>
      <c r="E12" s="1" t="s">
        <v>32</v>
      </c>
      <c r="F12" s="1">
        <v>19</v>
      </c>
      <c r="G12" s="1">
        <v>1599</v>
      </c>
      <c r="H12" s="3">
        <f t="shared" si="0"/>
        <v>30381</v>
      </c>
      <c r="I12" s="1" t="s">
        <v>33</v>
      </c>
      <c r="J12" s="1" t="s">
        <v>34</v>
      </c>
      <c r="L12" s="12"/>
      <c r="M12" t="str">
        <f t="shared" si="1"/>
        <v>Low Profit</v>
      </c>
      <c r="N12" t="str" cm="1">
        <f t="array" ref="N12">_xlfn.IFS(H12&gt;70000,"platinum",H12&gt;50000,"gold",H12&gt;10000,"silver",TRUE,"bronze")</f>
        <v>silver</v>
      </c>
      <c r="O12" s="43" t="str" cm="1">
        <f t="array" ref="O12">IFERROR(VLOOKUP(H12,unit_price H12:H21,2,FALSE),"Not Found")</f>
        <v>Not Found</v>
      </c>
    </row>
    <row r="13" ht="15.15" spans="12:15">
      <c r="L13" s="18"/>
      <c r="M13" s="19"/>
      <c r="N13" s="19"/>
      <c r="O13" s="20"/>
    </row>
    <row r="14" ht="15.15" spans="1:7">
      <c r="A14" s="1"/>
      <c r="B14" s="1"/>
      <c r="C14" s="1"/>
      <c r="D14" s="1"/>
      <c r="E14" s="1"/>
      <c r="F14" s="1"/>
      <c r="G14" s="1"/>
    </row>
    <row r="15" ht="24.15" spans="1:13">
      <c r="A15" s="1"/>
      <c r="B15" s="22" t="s">
        <v>60</v>
      </c>
      <c r="C15" s="23"/>
      <c r="D15" s="24"/>
      <c r="E15" s="24"/>
      <c r="F15" s="24"/>
      <c r="G15" s="25"/>
      <c r="I15" s="44"/>
      <c r="J15" s="44"/>
      <c r="K15" s="45"/>
      <c r="L15" s="45"/>
      <c r="M15" s="45"/>
    </row>
    <row r="16" ht="21" spans="1:17">
      <c r="A16" s="1"/>
      <c r="B16" s="26"/>
      <c r="C16" s="27" t="s">
        <v>61</v>
      </c>
      <c r="D16" s="27"/>
      <c r="E16" s="28">
        <f>_xlfn.XLOOKUP("INV005",B3:B12,H3:H12)</f>
        <v>44970</v>
      </c>
      <c r="F16" s="27"/>
      <c r="G16" s="29"/>
      <c r="I16" s="46" t="s">
        <v>62</v>
      </c>
      <c r="J16" s="47"/>
      <c r="K16" s="48"/>
      <c r="L16" s="48"/>
      <c r="M16" s="45"/>
      <c r="N16" s="45"/>
      <c r="O16" s="45"/>
      <c r="P16" s="45"/>
      <c r="Q16" s="45"/>
    </row>
    <row r="17" spans="1:17">
      <c r="A17" s="1"/>
      <c r="B17" s="30" t="s">
        <v>63</v>
      </c>
      <c r="C17" s="27"/>
      <c r="D17" s="27"/>
      <c r="E17" s="27"/>
      <c r="F17" s="27"/>
      <c r="G17" s="31"/>
      <c r="I17" s="49" t="s">
        <v>64</v>
      </c>
      <c r="J17" s="50">
        <f>YEAR(A3)</f>
        <v>2025</v>
      </c>
      <c r="K17" s="45"/>
      <c r="L17" s="45"/>
      <c r="M17" s="45"/>
      <c r="N17" s="45"/>
      <c r="O17" s="45"/>
      <c r="P17" s="45"/>
      <c r="Q17" s="45"/>
    </row>
    <row r="18" spans="1:17">
      <c r="A18" s="1"/>
      <c r="B18" s="26"/>
      <c r="C18" s="27" t="s">
        <v>65</v>
      </c>
      <c r="D18" s="27"/>
      <c r="E18" s="32" t="str">
        <f>_xlfn.XLOOKUP("Smartwatch",D3:D12,C3:C12)</f>
        <v>Shruti Desai</v>
      </c>
      <c r="F18" s="27"/>
      <c r="G18" s="29"/>
      <c r="I18" s="49" t="s">
        <v>66</v>
      </c>
      <c r="J18" s="51">
        <f>MONTH(A3)</f>
        <v>1</v>
      </c>
      <c r="K18" s="45"/>
      <c r="L18" s="45"/>
      <c r="M18" s="45"/>
      <c r="N18" s="45"/>
      <c r="O18" s="45"/>
      <c r="P18" s="45"/>
      <c r="Q18" s="45"/>
    </row>
    <row r="19" spans="1:17">
      <c r="A19" s="1"/>
      <c r="B19" s="30"/>
      <c r="C19" s="27"/>
      <c r="D19" s="27"/>
      <c r="E19" s="27"/>
      <c r="F19" s="27"/>
      <c r="G19" s="31"/>
      <c r="I19" s="49" t="s">
        <v>67</v>
      </c>
      <c r="J19" s="52" t="str">
        <f>TEXT(A3,"mmmm")</f>
        <v>January</v>
      </c>
      <c r="K19" s="45"/>
      <c r="L19" s="45"/>
      <c r="M19" s="45"/>
      <c r="N19" s="45"/>
      <c r="O19" s="45"/>
      <c r="P19" s="45"/>
      <c r="Q19" s="45"/>
    </row>
    <row r="20" spans="1:17">
      <c r="A20" s="1"/>
      <c r="B20" s="26"/>
      <c r="C20" s="27"/>
      <c r="D20" s="27"/>
      <c r="E20" s="27"/>
      <c r="F20" s="27"/>
      <c r="G20" s="29"/>
      <c r="I20" s="49" t="s">
        <v>68</v>
      </c>
      <c r="J20" s="51">
        <f>WEEKNUM(A3)</f>
        <v>1</v>
      </c>
      <c r="K20" s="45"/>
      <c r="L20" s="45"/>
      <c r="M20" s="45"/>
      <c r="N20" s="45"/>
      <c r="O20" s="45"/>
      <c r="P20" s="45"/>
      <c r="Q20" s="45"/>
    </row>
    <row r="21" ht="15.15" spans="1:17">
      <c r="A21" s="1"/>
      <c r="B21" s="30" t="s">
        <v>69</v>
      </c>
      <c r="C21" s="27" t="s">
        <v>70</v>
      </c>
      <c r="D21" s="27"/>
      <c r="E21" s="27"/>
      <c r="F21" s="28" t="str">
        <f>VLOOKUP("Laptop Bag",D:E,2,FALSE)</f>
        <v>Accessories</v>
      </c>
      <c r="G21" s="29"/>
      <c r="I21" s="18" t="s">
        <v>71</v>
      </c>
      <c r="J21" s="53">
        <f ca="1">TODAY()</f>
        <v>46017</v>
      </c>
      <c r="K21" s="45"/>
      <c r="L21" s="45"/>
      <c r="M21" s="45"/>
      <c r="N21" s="45"/>
      <c r="O21" s="45"/>
      <c r="P21" s="45"/>
      <c r="Q21" s="45"/>
    </row>
    <row r="22" ht="15.15" spans="1:17">
      <c r="A22" s="1"/>
      <c r="B22" s="26"/>
      <c r="C22" s="27"/>
      <c r="D22" s="27"/>
      <c r="E22" s="27"/>
      <c r="F22" s="27"/>
      <c r="G22" s="29"/>
      <c r="I22" s="45"/>
      <c r="J22" s="45"/>
      <c r="K22" s="45"/>
      <c r="L22" s="45"/>
      <c r="M22" s="45"/>
      <c r="N22" s="45"/>
      <c r="O22" s="45"/>
      <c r="P22" s="45"/>
      <c r="Q22" s="45"/>
    </row>
    <row r="23" ht="23.4" spans="1:17">
      <c r="A23" s="1"/>
      <c r="B23" s="26"/>
      <c r="C23" s="27" t="s">
        <v>61</v>
      </c>
      <c r="D23" s="27"/>
      <c r="E23" s="27"/>
      <c r="F23" s="28">
        <f>VLOOKUP("INV006",B:H,7,FALSE)</f>
        <v>74985</v>
      </c>
      <c r="G23" s="29"/>
      <c r="I23" s="54" t="s">
        <v>72</v>
      </c>
      <c r="J23" s="55"/>
      <c r="K23" s="56"/>
      <c r="L23" s="56"/>
      <c r="M23" s="7"/>
      <c r="N23" s="45"/>
      <c r="O23" s="45"/>
      <c r="P23" s="45"/>
      <c r="Q23" s="45"/>
    </row>
    <row r="24" spans="1:17">
      <c r="A24" s="1"/>
      <c r="B24" s="26"/>
      <c r="C24" s="33"/>
      <c r="D24" s="33"/>
      <c r="E24" s="33"/>
      <c r="F24" s="33"/>
      <c r="G24" s="29"/>
      <c r="I24" s="49" t="s">
        <v>73</v>
      </c>
      <c r="J24" s="48"/>
      <c r="K24" s="48"/>
      <c r="L24" s="48" t="str">
        <f>LEFT(E11,4)</f>
        <v>Foot</v>
      </c>
      <c r="M24" s="11"/>
      <c r="N24" s="45"/>
      <c r="O24" s="45"/>
      <c r="P24" s="45"/>
      <c r="Q24" s="45"/>
    </row>
    <row r="25" spans="1:13">
      <c r="A25" s="1"/>
      <c r="B25" s="30" t="s">
        <v>74</v>
      </c>
      <c r="C25" s="27" t="s">
        <v>75</v>
      </c>
      <c r="D25" s="27"/>
      <c r="E25" s="34"/>
      <c r="F25" s="27"/>
      <c r="G25" s="31" t="str" cm="1">
        <f t="array" ref="G25">INDEX(D3:D12,MATCH("Priya Verma",C3:C12,0))</f>
        <v>T-Shirt</v>
      </c>
      <c r="I25" s="49" t="s">
        <v>76</v>
      </c>
      <c r="J25" s="48"/>
      <c r="K25" s="48"/>
      <c r="L25" s="48" t="str">
        <f>RIGHT(C9,5)</f>
        <v>Mehta</v>
      </c>
      <c r="M25" s="11"/>
    </row>
    <row r="26" spans="1:13">
      <c r="A26" s="1"/>
      <c r="B26" s="26"/>
      <c r="C26" s="27"/>
      <c r="D26" s="27"/>
      <c r="E26" s="27"/>
      <c r="F26" s="27"/>
      <c r="G26" s="29"/>
      <c r="I26" s="49" t="s">
        <v>77</v>
      </c>
      <c r="J26" s="48"/>
      <c r="K26" s="48"/>
      <c r="L26" s="48" t="str">
        <f>MID(C6,6,7)</f>
        <v> Gupta</v>
      </c>
      <c r="M26" s="11"/>
    </row>
    <row r="27" spans="1:13">
      <c r="A27" s="1"/>
      <c r="B27" s="26"/>
      <c r="C27" s="27" t="s">
        <v>78</v>
      </c>
      <c r="D27" s="27"/>
      <c r="E27" s="27"/>
      <c r="F27" s="27"/>
      <c r="G27" s="31" cm="1">
        <f t="array" ref="G27">INDEX(H3:H12,MATCH(1,(I3:I12="Amit")*(J3:J12="North"),0))</f>
        <v>17371</v>
      </c>
      <c r="I27" s="49" t="s">
        <v>79</v>
      </c>
      <c r="J27" s="48"/>
      <c r="K27" s="48" t="str">
        <f>_xlfn.CONCAT(C10," ordered ",F10," units of ",E10," for ₹",G10)</f>
        <v>Nikita Jain ordered 5 units of Electronics for ₹799</v>
      </c>
      <c r="L27" s="48"/>
      <c r="M27" s="11"/>
    </row>
    <row r="28" spans="1:13">
      <c r="A28" s="1"/>
      <c r="B28" s="26"/>
      <c r="C28" s="27"/>
      <c r="D28" s="27"/>
      <c r="E28" s="27"/>
      <c r="F28" s="27"/>
      <c r="G28" s="29"/>
      <c r="I28" s="49"/>
      <c r="J28" s="48"/>
      <c r="K28" s="48"/>
      <c r="L28" s="48"/>
      <c r="M28" s="11"/>
    </row>
    <row r="29" ht="15.15" spans="1:13">
      <c r="A29" s="1"/>
      <c r="B29" s="35"/>
      <c r="C29" s="36" t="s">
        <v>80</v>
      </c>
      <c r="D29" s="36"/>
      <c r="E29" s="36"/>
      <c r="F29" s="36"/>
      <c r="G29" s="37" cm="1">
        <f t="array" ref="G29">INDEX(H3:H12,MATCH(1,(I3:I12="Neha")*(J3:J12="West"),0))</f>
        <v>19975</v>
      </c>
      <c r="I29" s="49" t="s">
        <v>81</v>
      </c>
      <c r="J29" s="48"/>
      <c r="K29" s="48" t="str">
        <f>_xlfn.CONCAT(I8," sold ",D8," in ",J8," region - Revenue: ₹",H8)</f>
        <v>Rahul sold Smartwatch in South region - Revenue: ₹74985</v>
      </c>
      <c r="L29" s="48"/>
      <c r="M29" s="11"/>
    </row>
    <row r="30" spans="9:13">
      <c r="I30" s="49"/>
      <c r="J30" s="48"/>
      <c r="K30" s="48"/>
      <c r="L30" s="48"/>
      <c r="M30" s="11"/>
    </row>
    <row r="31" spans="9:13">
      <c r="I31" s="49" t="s">
        <v>82</v>
      </c>
      <c r="J31" s="48"/>
      <c r="K31" s="48" t="str">
        <f>TRIM(SUBSTITUTE(SUBSTITUTE(D4,"-"," "),"(",""))</f>
        <v>T Shirt</v>
      </c>
      <c r="L31" s="48"/>
      <c r="M31" s="11"/>
    </row>
    <row r="32" ht="15.15" spans="9:13">
      <c r="I32" s="57"/>
      <c r="J32" s="58"/>
      <c r="K32" s="58"/>
      <c r="L32" s="58"/>
      <c r="M32" s="59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H19" sqref="H19"/>
    </sheetView>
  </sheetViews>
  <sheetFormatPr defaultColWidth="8.88888888888889" defaultRowHeight="14.4"/>
  <cols>
    <col min="1" max="1" width="12.2222222222222" customWidth="1"/>
    <col min="2" max="2" width="11.2222222222222" customWidth="1"/>
    <col min="3" max="3" width="15.1111111111111" customWidth="1"/>
    <col min="4" max="4" width="14.6666666666667" customWidth="1"/>
    <col min="5" max="5" width="12" customWidth="1"/>
    <col min="6" max="6" width="11.2222222222222" customWidth="1"/>
    <col min="7" max="7" width="11.7777777777778" customWidth="1"/>
    <col min="8" max="8" width="12" customWidth="1"/>
    <col min="9" max="9" width="14.6666666666667" customWidth="1"/>
    <col min="10" max="10" width="9.88888888888889" customWidth="1"/>
  </cols>
  <sheetData>
    <row r="1" spans="1:1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t="s">
        <v>83</v>
      </c>
    </row>
    <row r="2" spans="1:11">
      <c r="A2" s="2">
        <v>45658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29</v>
      </c>
      <c r="G2" s="1">
        <v>599</v>
      </c>
      <c r="H2" s="3">
        <f t="shared" ref="H2:H11" si="0">PRODUCT(F2:G2)</f>
        <v>17371</v>
      </c>
      <c r="I2" s="1" t="s">
        <v>21</v>
      </c>
      <c r="J2" s="1" t="s">
        <v>22</v>
      </c>
      <c r="K2" s="21">
        <f t="shared" ref="K2:K11" si="1">H2-G2</f>
        <v>16772</v>
      </c>
    </row>
    <row r="3" spans="1:11">
      <c r="A3" s="2">
        <v>45658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25</v>
      </c>
      <c r="G3" s="1">
        <v>799</v>
      </c>
      <c r="H3" s="3">
        <f t="shared" si="0"/>
        <v>19975</v>
      </c>
      <c r="I3" s="1" t="s">
        <v>27</v>
      </c>
      <c r="J3" s="1" t="s">
        <v>28</v>
      </c>
      <c r="K3" s="21">
        <f t="shared" si="1"/>
        <v>19176</v>
      </c>
    </row>
    <row r="4" spans="1:11">
      <c r="A4" s="2">
        <v>45659</v>
      </c>
      <c r="B4" s="1" t="s">
        <v>29</v>
      </c>
      <c r="C4" s="1" t="s">
        <v>30</v>
      </c>
      <c r="D4" s="1" t="s">
        <v>31</v>
      </c>
      <c r="E4" s="1" t="s">
        <v>32</v>
      </c>
      <c r="F4" s="1">
        <v>40</v>
      </c>
      <c r="G4" s="1">
        <v>1299</v>
      </c>
      <c r="H4" s="3">
        <f t="shared" si="0"/>
        <v>51960</v>
      </c>
      <c r="I4" s="1" t="s">
        <v>33</v>
      </c>
      <c r="J4" s="1" t="s">
        <v>34</v>
      </c>
      <c r="K4" s="21">
        <f t="shared" si="1"/>
        <v>50661</v>
      </c>
    </row>
    <row r="5" ht="15" customHeight="1" spans="1:11">
      <c r="A5" s="2">
        <v>45659</v>
      </c>
      <c r="B5" s="1" t="s">
        <v>35</v>
      </c>
      <c r="C5" s="1" t="s">
        <v>36</v>
      </c>
      <c r="D5" s="1" t="s">
        <v>37</v>
      </c>
      <c r="E5" s="1" t="s">
        <v>20</v>
      </c>
      <c r="F5" s="1">
        <v>18</v>
      </c>
      <c r="G5" s="1">
        <v>999</v>
      </c>
      <c r="H5" s="3">
        <f t="shared" si="0"/>
        <v>17982</v>
      </c>
      <c r="I5" s="1" t="s">
        <v>21</v>
      </c>
      <c r="J5" s="1" t="s">
        <v>22</v>
      </c>
      <c r="K5" s="21">
        <f t="shared" si="1"/>
        <v>16983</v>
      </c>
    </row>
    <row r="6" spans="1:11">
      <c r="A6" s="2">
        <v>45660</v>
      </c>
      <c r="B6" s="1" t="s">
        <v>38</v>
      </c>
      <c r="C6" s="1" t="s">
        <v>39</v>
      </c>
      <c r="D6" s="1" t="s">
        <v>40</v>
      </c>
      <c r="E6" s="1" t="s">
        <v>26</v>
      </c>
      <c r="F6" s="1">
        <v>30</v>
      </c>
      <c r="G6" s="1">
        <v>1499</v>
      </c>
      <c r="H6" s="3">
        <f t="shared" si="0"/>
        <v>44970</v>
      </c>
      <c r="I6" s="1" t="s">
        <v>27</v>
      </c>
      <c r="J6" s="1" t="s">
        <v>28</v>
      </c>
      <c r="K6" s="21">
        <f t="shared" si="1"/>
        <v>43471</v>
      </c>
    </row>
    <row r="7" spans="1:11">
      <c r="A7" s="2">
        <v>45660</v>
      </c>
      <c r="B7" s="1" t="s">
        <v>41</v>
      </c>
      <c r="C7" s="1" t="s">
        <v>42</v>
      </c>
      <c r="D7" s="1" t="s">
        <v>43</v>
      </c>
      <c r="E7" s="1" t="s">
        <v>20</v>
      </c>
      <c r="F7" s="1">
        <v>15</v>
      </c>
      <c r="G7" s="1">
        <v>4999</v>
      </c>
      <c r="H7" s="3">
        <f t="shared" si="0"/>
        <v>74985</v>
      </c>
      <c r="I7" s="1" t="s">
        <v>33</v>
      </c>
      <c r="J7" s="1" t="s">
        <v>34</v>
      </c>
      <c r="K7" s="21">
        <f t="shared" si="1"/>
        <v>69986</v>
      </c>
    </row>
    <row r="8" spans="1:11">
      <c r="A8" s="2">
        <v>45661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8</v>
      </c>
      <c r="G8" s="1">
        <v>60</v>
      </c>
      <c r="H8" s="3">
        <f t="shared" si="0"/>
        <v>480</v>
      </c>
      <c r="I8" s="1" t="s">
        <v>48</v>
      </c>
      <c r="J8" s="1" t="s">
        <v>49</v>
      </c>
      <c r="K8" s="21">
        <f t="shared" si="1"/>
        <v>420</v>
      </c>
    </row>
    <row r="9" spans="1:11">
      <c r="A9" s="2">
        <v>45661</v>
      </c>
      <c r="B9" s="1" t="s">
        <v>50</v>
      </c>
      <c r="C9" s="1" t="s">
        <v>51</v>
      </c>
      <c r="D9" s="1" t="s">
        <v>52</v>
      </c>
      <c r="E9" s="1" t="s">
        <v>20</v>
      </c>
      <c r="F9" s="1">
        <v>5</v>
      </c>
      <c r="G9" s="1">
        <v>799</v>
      </c>
      <c r="H9" s="3">
        <f t="shared" si="0"/>
        <v>3995</v>
      </c>
      <c r="I9" s="1" t="s">
        <v>21</v>
      </c>
      <c r="J9" s="1" t="s">
        <v>22</v>
      </c>
      <c r="K9" s="21">
        <f t="shared" si="1"/>
        <v>3196</v>
      </c>
    </row>
    <row r="10" spans="1:11">
      <c r="A10" s="2">
        <v>45662</v>
      </c>
      <c r="B10" s="1" t="s">
        <v>53</v>
      </c>
      <c r="C10" s="1" t="s">
        <v>54</v>
      </c>
      <c r="D10" s="1" t="s">
        <v>55</v>
      </c>
      <c r="E10" s="1" t="s">
        <v>56</v>
      </c>
      <c r="F10" s="1">
        <v>18</v>
      </c>
      <c r="G10" s="1">
        <v>2499</v>
      </c>
      <c r="H10" s="3">
        <f t="shared" si="0"/>
        <v>44982</v>
      </c>
      <c r="I10" s="1" t="s">
        <v>27</v>
      </c>
      <c r="J10" s="1" t="s">
        <v>28</v>
      </c>
      <c r="K10" s="21">
        <f t="shared" si="1"/>
        <v>42483</v>
      </c>
    </row>
    <row r="11" ht="13" customHeight="1" spans="1:11">
      <c r="A11" s="2">
        <v>45662</v>
      </c>
      <c r="B11" s="1" t="s">
        <v>57</v>
      </c>
      <c r="C11" s="1" t="s">
        <v>58</v>
      </c>
      <c r="D11" s="1" t="s">
        <v>59</v>
      </c>
      <c r="E11" s="1" t="s">
        <v>32</v>
      </c>
      <c r="F11" s="1">
        <v>19</v>
      </c>
      <c r="G11" s="1">
        <v>1599</v>
      </c>
      <c r="H11" s="3">
        <f t="shared" si="0"/>
        <v>30381</v>
      </c>
      <c r="I11" s="1" t="s">
        <v>33</v>
      </c>
      <c r="J11" s="1" t="s">
        <v>34</v>
      </c>
      <c r="K11" s="21">
        <f t="shared" si="1"/>
        <v>28782</v>
      </c>
    </row>
    <row r="12" ht="15.15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5"/>
      <c r="B13" s="6"/>
      <c r="C13" s="6"/>
      <c r="D13" s="6"/>
      <c r="E13" s="6"/>
      <c r="F13" s="7"/>
      <c r="G13" s="4"/>
      <c r="H13" s="4"/>
      <c r="I13" s="4"/>
      <c r="J13" s="4"/>
    </row>
    <row r="14" ht="18" spans="1:10">
      <c r="A14" s="8"/>
      <c r="B14" s="9" t="s">
        <v>84</v>
      </c>
      <c r="C14" s="10"/>
      <c r="D14" s="4"/>
      <c r="E14" s="4"/>
      <c r="F14" s="11"/>
      <c r="G14" s="4"/>
      <c r="H14" s="4"/>
      <c r="I14" s="4"/>
      <c r="J14" s="4"/>
    </row>
    <row r="15" spans="1:10">
      <c r="A15" s="8"/>
      <c r="B15" s="4"/>
      <c r="C15" s="4"/>
      <c r="D15" s="4"/>
      <c r="E15" s="4"/>
      <c r="F15" s="11"/>
      <c r="G15" s="4"/>
      <c r="H15" s="4"/>
      <c r="I15" s="4"/>
      <c r="J15" s="4"/>
    </row>
    <row r="16" ht="15.6" spans="1:10">
      <c r="A16" s="12"/>
      <c r="B16" s="13" t="s">
        <v>85</v>
      </c>
      <c r="C16" s="4"/>
      <c r="D16" s="4"/>
      <c r="E16" s="14" t="s">
        <v>86</v>
      </c>
      <c r="F16" s="11"/>
      <c r="G16" s="4"/>
      <c r="H16" s="4"/>
      <c r="I16" s="4"/>
      <c r="J16" s="4"/>
    </row>
    <row r="17" spans="1:10">
      <c r="A17" s="8"/>
      <c r="B17" s="4"/>
      <c r="C17" s="4"/>
      <c r="D17" s="4"/>
      <c r="E17" s="4"/>
      <c r="F17" s="11"/>
      <c r="G17" s="4"/>
      <c r="H17" s="4"/>
      <c r="I17" s="4"/>
      <c r="J17" s="4"/>
    </row>
    <row r="18" ht="15.6" spans="1:10">
      <c r="A18" s="8"/>
      <c r="B18" s="4"/>
      <c r="C18" s="15">
        <f>SUM(H2:H11)</f>
        <v>307081</v>
      </c>
      <c r="D18" s="4"/>
      <c r="E18" s="16">
        <f>SUM(K2:K11)</f>
        <v>291930</v>
      </c>
      <c r="F18" s="11"/>
      <c r="G18" s="4"/>
      <c r="H18" s="4"/>
      <c r="I18" s="4"/>
      <c r="J18" s="4"/>
    </row>
    <row r="19" spans="1:10">
      <c r="A19" s="8"/>
      <c r="B19" s="4"/>
      <c r="C19" s="4"/>
      <c r="D19" s="4"/>
      <c r="E19" s="4"/>
      <c r="F19" s="11"/>
      <c r="G19" s="4"/>
      <c r="H19" s="4"/>
      <c r="I19" s="4"/>
      <c r="J19" s="4"/>
    </row>
    <row r="20" spans="1:10">
      <c r="A20" s="8"/>
      <c r="B20" s="14" t="s">
        <v>87</v>
      </c>
      <c r="C20" s="4"/>
      <c r="D20" s="4"/>
      <c r="E20" s="14" t="s">
        <v>88</v>
      </c>
      <c r="F20" s="11"/>
      <c r="G20" s="4"/>
      <c r="H20" s="4"/>
      <c r="I20" s="4"/>
      <c r="J20" s="4"/>
    </row>
    <row r="21" spans="1:10">
      <c r="A21" s="8"/>
      <c r="B21" s="4"/>
      <c r="C21" s="4"/>
      <c r="D21" s="4"/>
      <c r="E21" s="4"/>
      <c r="F21" s="11"/>
      <c r="G21" s="4"/>
      <c r="H21" s="4"/>
      <c r="I21" s="4"/>
      <c r="J21" s="4"/>
    </row>
    <row r="22" spans="1:10">
      <c r="A22" s="8"/>
      <c r="B22" s="4"/>
      <c r="C22" s="4">
        <f>AVERAGE(H2:H11)</f>
        <v>30708.1</v>
      </c>
      <c r="D22" s="4"/>
      <c r="E22" s="4">
        <f>MEDIAN(H2:H11)</f>
        <v>25178</v>
      </c>
      <c r="F22" s="11"/>
      <c r="G22" s="4"/>
      <c r="H22" s="4"/>
      <c r="I22" s="4"/>
      <c r="J22" s="4"/>
    </row>
    <row r="23" spans="1:10">
      <c r="A23" s="8"/>
      <c r="B23" s="4"/>
      <c r="C23" s="4"/>
      <c r="D23" s="4"/>
      <c r="E23" s="4"/>
      <c r="F23" s="11"/>
      <c r="G23" s="4"/>
      <c r="H23" s="4"/>
      <c r="I23" s="4"/>
      <c r="J23" s="4"/>
    </row>
    <row r="24" spans="1:10">
      <c r="A24" s="8"/>
      <c r="B24" s="17" t="s">
        <v>89</v>
      </c>
      <c r="C24" s="4"/>
      <c r="D24" s="4"/>
      <c r="E24" s="14"/>
      <c r="F24" s="11"/>
      <c r="G24" s="4"/>
      <c r="H24" s="4"/>
      <c r="I24" s="4"/>
      <c r="J24" s="4"/>
    </row>
    <row r="25" spans="1:10">
      <c r="A25" s="8"/>
      <c r="B25" s="4"/>
      <c r="C25" s="4"/>
      <c r="D25" s="4"/>
      <c r="E25" s="14" t="s">
        <v>90</v>
      </c>
      <c r="F25" s="11"/>
      <c r="G25" s="4"/>
      <c r="H25" s="4"/>
      <c r="I25" s="4"/>
      <c r="J25" s="4"/>
    </row>
    <row r="26" spans="1:10">
      <c r="A26" s="8"/>
      <c r="B26" s="4"/>
      <c r="C26" s="4">
        <f>MAX(H2:H11)</f>
        <v>74985</v>
      </c>
      <c r="D26" s="4"/>
      <c r="E26" s="4"/>
      <c r="F26" s="11"/>
      <c r="G26" s="4"/>
      <c r="H26" s="4"/>
      <c r="I26" s="4"/>
      <c r="J26" s="4"/>
    </row>
    <row r="27" spans="1:10">
      <c r="A27" s="8"/>
      <c r="B27" s="4"/>
      <c r="C27" s="4"/>
      <c r="D27" s="4"/>
      <c r="E27" s="4">
        <f>STDEV(H2:H11)</f>
        <v>23337.3786229064</v>
      </c>
      <c r="F27" s="11"/>
      <c r="G27" s="4"/>
      <c r="H27" s="4"/>
      <c r="I27" s="4"/>
      <c r="J27" s="4"/>
    </row>
    <row r="28" spans="1:10">
      <c r="A28" s="8"/>
      <c r="B28" s="17" t="s">
        <v>91</v>
      </c>
      <c r="C28" s="4"/>
      <c r="D28" s="4"/>
      <c r="E28" s="4"/>
      <c r="F28" s="11"/>
      <c r="G28" s="4"/>
      <c r="H28" s="4"/>
      <c r="I28" s="4"/>
      <c r="J28" s="4"/>
    </row>
    <row r="29" spans="1:10">
      <c r="A29" s="8"/>
      <c r="B29" s="4"/>
      <c r="C29" s="4"/>
      <c r="D29" s="4"/>
      <c r="E29" s="4"/>
      <c r="F29" s="11"/>
      <c r="G29" s="4"/>
      <c r="H29" s="4"/>
      <c r="I29" s="4"/>
      <c r="J29" s="4"/>
    </row>
    <row r="30" ht="15.15" spans="1:6">
      <c r="A30" s="18"/>
      <c r="B30" s="19"/>
      <c r="C30" s="19">
        <f>MIN(H2:H11)</f>
        <v>480</v>
      </c>
      <c r="D30" s="19"/>
      <c r="E30" s="19"/>
      <c r="F30" s="20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FUNCTION WORKBOOK</vt:lpstr>
      <vt:lpstr>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shivangi Maurya</cp:lastModifiedBy>
  <dcterms:created xsi:type="dcterms:W3CDTF">2025-12-12T12:29:00Z</dcterms:created>
  <dcterms:modified xsi:type="dcterms:W3CDTF">2025-12-26T09:49:52Z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C3A704CCED164CB2BF154B69DCCD9FF1_13</vt:lpwstr>
  </property>
  <property fmtid="{D5CDD505-2E9C-101B-9397-08002B2CF9AE}" pid="3" name="KSOProductBuildVer">
    <vt:lpwstr>1033-12.2.0.23196</vt:lpwstr>
  </property>
</Properties>
</file>